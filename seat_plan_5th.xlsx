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X:\Control Room NPI\MID TERM JUNE-2026\SEAT PLAN MID TERM JUNE-2026\Seat Planning Python\"/>
    </mc:Choice>
  </mc:AlternateContent>
  <xr:revisionPtr revIDLastSave="0" documentId="13_ncr:1_{AF570174-E57A-40EB-80E5-C25D3423C054}" xr6:coauthVersionLast="47" xr6:coauthVersionMax="47" xr10:uidLastSave="{00000000-0000-0000-0000-000000000000}"/>
  <bookViews>
    <workbookView xWindow="-120" yWindow="-120" windowWidth="20730" windowHeight="11160" activeTab="6" xr2:uid="{668686C8-A2A0-4977-A14D-C803AB3F7302}"/>
  </bookViews>
  <sheets>
    <sheet name="115-47" sheetId="5" r:id="rId1"/>
    <sheet name="213-47" sheetId="7" r:id="rId2"/>
    <sheet name="214-47 " sheetId="8" r:id="rId3"/>
    <sheet name="215-47" sheetId="9" r:id="rId4"/>
    <sheet name="112-41" sheetId="6" r:id="rId5"/>
    <sheet name="311-41" sheetId="10" r:id="rId6"/>
    <sheet name="312-41" sheetId="11" r:id="rId7"/>
  </sheets>
  <definedNames>
    <definedName name="_xlnm.Print_Area" localSheetId="4">'112-41'!$A$1:$G$9</definedName>
    <definedName name="_xlnm.Print_Area" localSheetId="0">'115-47'!$A$1:$G$10</definedName>
    <definedName name="_xlnm.Print_Area" localSheetId="1">'213-47'!$A$1:$G$10</definedName>
    <definedName name="_xlnm.Print_Area" localSheetId="2">'214-47 '!$A$1:$G$10</definedName>
    <definedName name="_xlnm.Print_Area" localSheetId="3">'215-47'!$A$1:$G$10</definedName>
    <definedName name="_xlnm.Print_Area" localSheetId="5">'311-41'!$A$1:$G$9</definedName>
    <definedName name="_xlnm.Print_Area" localSheetId="6">'312-41'!$A$1:$G$9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10" i="11" l="1"/>
  <c r="K10" i="11"/>
  <c r="K11" i="11" s="1"/>
  <c r="F1" i="11" s="1"/>
  <c r="N11" i="9"/>
  <c r="K11" i="9"/>
  <c r="K12" i="9" s="1"/>
  <c r="F1" i="9" s="1"/>
  <c r="N10" i="10"/>
  <c r="K10" i="10"/>
  <c r="K11" i="10" s="1"/>
  <c r="F1" i="10" s="1"/>
  <c r="K11" i="6"/>
  <c r="F1" i="6" s="1"/>
  <c r="N10" i="6"/>
  <c r="K10" i="6"/>
  <c r="N11" i="8"/>
  <c r="K11" i="8"/>
  <c r="K12" i="8" s="1"/>
  <c r="N11" i="7"/>
  <c r="K11" i="7"/>
  <c r="K12" i="7" s="1"/>
  <c r="K12" i="5"/>
  <c r="N11" i="5"/>
  <c r="K11" i="5"/>
  <c r="F1" i="5"/>
  <c r="C1" i="11"/>
  <c r="C1" i="10"/>
  <c r="C1" i="6"/>
  <c r="C1" i="9"/>
  <c r="C1" i="8"/>
  <c r="C1" i="7"/>
  <c r="C1" i="5"/>
  <c r="F1" i="8" l="1"/>
  <c r="F1" i="7"/>
</calcChain>
</file>

<file path=xl/sharedStrings.xml><?xml version="1.0" encoding="utf-8"?>
<sst xmlns="http://schemas.openxmlformats.org/spreadsheetml/2006/main" count="420" uniqueCount="319">
  <si>
    <t>SL</t>
  </si>
  <si>
    <t xml:space="preserve">ROOM </t>
  </si>
  <si>
    <t>DOOR</t>
  </si>
  <si>
    <t>TOTAL STUDENTS</t>
  </si>
  <si>
    <t>TECH</t>
  </si>
  <si>
    <t>5CT</t>
  </si>
  <si>
    <t>5CST</t>
  </si>
  <si>
    <t>TOTAL</t>
  </si>
  <si>
    <t>G.total</t>
  </si>
  <si>
    <t>ROOM NO</t>
  </si>
  <si>
    <t>5ET</t>
  </si>
  <si>
    <t> 766323</t>
  </si>
  <si>
    <t> 765766</t>
  </si>
  <si>
    <t> 765789</t>
  </si>
  <si>
    <t> 765760</t>
  </si>
  <si>
    <t>5FT</t>
  </si>
  <si>
    <t>INSTITUTE</t>
  </si>
  <si>
    <t>NPI</t>
  </si>
  <si>
    <t>5RAC</t>
  </si>
  <si>
    <t> 765938</t>
  </si>
  <si>
    <t>5CST
789428</t>
  </si>
  <si>
    <t>5CT
861527</t>
  </si>
  <si>
    <t>5CST
861784</t>
  </si>
  <si>
    <t>5CT
861548</t>
  </si>
  <si>
    <t>5CST
861804</t>
  </si>
  <si>
    <t>5CT
837076</t>
  </si>
  <si>
    <t>5CST
837044</t>
  </si>
  <si>
    <t>5CT
861529</t>
  </si>
  <si>
    <t>5CST
861787</t>
  </si>
  <si>
    <t>5CT
861549</t>
  </si>
  <si>
    <t>5CST
861806</t>
  </si>
  <si>
    <t>5CT
838034</t>
  </si>
  <si>
    <t>5CST
846611</t>
  </si>
  <si>
    <t>5CT
861532</t>
  </si>
  <si>
    <t>5CST
861791</t>
  </si>
  <si>
    <t>5CT
861550</t>
  </si>
  <si>
    <t>5CST
861808</t>
  </si>
  <si>
    <t>5CT
839321</t>
  </si>
  <si>
    <t>5CST
861763</t>
  </si>
  <si>
    <t>5CT
861536</t>
  </si>
  <si>
    <t>5CST
861793</t>
  </si>
  <si>
    <t>5CT
861551</t>
  </si>
  <si>
    <t>5CST
862146</t>
  </si>
  <si>
    <t>5CT
861521</t>
  </si>
  <si>
    <t>5CST
861770</t>
  </si>
  <si>
    <t>5CT
861538</t>
  </si>
  <si>
    <t>5CST
861795</t>
  </si>
  <si>
    <t>5CT
861554</t>
  </si>
  <si>
    <t>5CST
862152</t>
  </si>
  <si>
    <t>5CT
861522</t>
  </si>
  <si>
    <t>5CST
861771</t>
  </si>
  <si>
    <t>5CT
861539</t>
  </si>
  <si>
    <t>5CST
861796</t>
  </si>
  <si>
    <t>5CT
861555</t>
  </si>
  <si>
    <t>5CST
862153</t>
  </si>
  <si>
    <t>5CT
861524</t>
  </si>
  <si>
    <t>5CST
861776</t>
  </si>
  <si>
    <t>5CT
861545</t>
  </si>
  <si>
    <t>5CST
861798</t>
  </si>
  <si>
    <t>5CT
861556</t>
  </si>
  <si>
    <t>5CST
862155</t>
  </si>
  <si>
    <t>5CT
861525</t>
  </si>
  <si>
    <t>5CST
861779</t>
  </si>
  <si>
    <t>5CT
861547</t>
  </si>
  <si>
    <t>5CST
861799</t>
  </si>
  <si>
    <t>5CT
861557</t>
  </si>
  <si>
    <t>5CST
862156</t>
  </si>
  <si>
    <t>5CST
862158</t>
  </si>
  <si>
    <t>5CT
861569</t>
  </si>
  <si>
    <t>5CST
862171</t>
  </si>
  <si>
    <t>5CT
861581</t>
  </si>
  <si>
    <t>5CST
870537</t>
  </si>
  <si>
    <t>5CT
861558</t>
  </si>
  <si>
    <t>5CST
862162</t>
  </si>
  <si>
    <t>5CT
861570</t>
  </si>
  <si>
    <t>5CST
862173</t>
  </si>
  <si>
    <t>5CT
861583</t>
  </si>
  <si>
    <t>5CST
872928</t>
  </si>
  <si>
    <t>5CT
861561</t>
  </si>
  <si>
    <t>5CST
862163</t>
  </si>
  <si>
    <t>5CT
861571</t>
  </si>
  <si>
    <t>5CST
862187</t>
  </si>
  <si>
    <t>5CT
861585</t>
  </si>
  <si>
    <t>5CST
873271</t>
  </si>
  <si>
    <t>5CT
861564</t>
  </si>
  <si>
    <t>5CST
862164</t>
  </si>
  <si>
    <t>5CT
861572</t>
  </si>
  <si>
    <t>5CST
862188</t>
  </si>
  <si>
    <t>5CT
861586</t>
  </si>
  <si>
    <t>5CST
874036</t>
  </si>
  <si>
    <t>5CT
861565</t>
  </si>
  <si>
    <t>5CST
862165</t>
  </si>
  <si>
    <t>5CT
861573</t>
  </si>
  <si>
    <t>5CST
862189</t>
  </si>
  <si>
    <t>5CT
861590</t>
  </si>
  <si>
    <t>5CST
874172</t>
  </si>
  <si>
    <t>5CT
861566</t>
  </si>
  <si>
    <t>5CST
862166</t>
  </si>
  <si>
    <t>5CT
861574</t>
  </si>
  <si>
    <t>5CST
862197</t>
  </si>
  <si>
    <t>5CT
861593</t>
  </si>
  <si>
    <t>5CST
874198</t>
  </si>
  <si>
    <t>5CT
861567</t>
  </si>
  <si>
    <t>5CST
862167</t>
  </si>
  <si>
    <t>5CT
861576</t>
  </si>
  <si>
    <t>5CST
862199</t>
  </si>
  <si>
    <t>5CT
861598</t>
  </si>
  <si>
    <t>5CST
874202</t>
  </si>
  <si>
    <t>5CT
861568</t>
  </si>
  <si>
    <t>5CST
862168</t>
  </si>
  <si>
    <t>5CT
861578</t>
  </si>
  <si>
    <t>5CST
870306</t>
  </si>
  <si>
    <t>5CT
861600</t>
  </si>
  <si>
    <t>5CST
874224</t>
  </si>
  <si>
    <t>5CST
874242</t>
  </si>
  <si>
    <t>5CT
861814</t>
  </si>
  <si>
    <t>5CST
887108</t>
  </si>
  <si>
    <t>5CT
861868</t>
  </si>
  <si>
    <t>5CST
887119</t>
  </si>
  <si>
    <t>5CT
861604</t>
  </si>
  <si>
    <t>5CST
885846</t>
  </si>
  <si>
    <t>5CT
861815</t>
  </si>
  <si>
    <t>5CST
887109</t>
  </si>
  <si>
    <t>5CT
861873</t>
  </si>
  <si>
    <t>5CST
888573</t>
  </si>
  <si>
    <t>5CT
861606</t>
  </si>
  <si>
    <t>5CST
887098</t>
  </si>
  <si>
    <t>5CT
861817</t>
  </si>
  <si>
    <t>5CST
887110</t>
  </si>
  <si>
    <t>5CT
861874</t>
  </si>
  <si>
    <t>5CST
888574</t>
  </si>
  <si>
    <t>5CT
861608</t>
  </si>
  <si>
    <t>5CST
887099</t>
  </si>
  <si>
    <t>5CT
861818</t>
  </si>
  <si>
    <t>5CST
887112</t>
  </si>
  <si>
    <t>5CT
861875</t>
  </si>
  <si>
    <t>5CST
888577</t>
  </si>
  <si>
    <t>5CT
861611</t>
  </si>
  <si>
    <t>5CST
887100</t>
  </si>
  <si>
    <t>5CT
861821</t>
  </si>
  <si>
    <t>5CST
887114</t>
  </si>
  <si>
    <t>5CT
861898</t>
  </si>
  <si>
    <t>5CST
888583</t>
  </si>
  <si>
    <t>5CT
861614</t>
  </si>
  <si>
    <t>5CST
887101</t>
  </si>
  <si>
    <t>5CT
861839</t>
  </si>
  <si>
    <t>5CST
887115</t>
  </si>
  <si>
    <t>5CT
861899</t>
  </si>
  <si>
    <t>5CST
888584</t>
  </si>
  <si>
    <t>5CT
861618</t>
  </si>
  <si>
    <t>5CST
887102</t>
  </si>
  <si>
    <t>5CT
861841</t>
  </si>
  <si>
    <t>5CST
887116</t>
  </si>
  <si>
    <t>5CT
861906</t>
  </si>
  <si>
    <t>5CST
888585</t>
  </si>
  <si>
    <t>5CT
861619</t>
  </si>
  <si>
    <t>5CST
887106</t>
  </si>
  <si>
    <t>5CT
861861</t>
  </si>
  <si>
    <t>5CST
887118</t>
  </si>
  <si>
    <t>5CT
861927</t>
  </si>
  <si>
    <t>5CST
888587</t>
  </si>
  <si>
    <t>5CST
888588</t>
  </si>
  <si>
    <t>5CT
861979</t>
  </si>
  <si>
    <t>5ET
88856</t>
  </si>
  <si>
    <t>5CT
862006</t>
  </si>
  <si>
    <t>5ET
861633</t>
  </si>
  <si>
    <t>5CT
861931</t>
  </si>
  <si>
    <t>5CST
 766323</t>
  </si>
  <si>
    <t>5CT
861981</t>
  </si>
  <si>
    <t>5ET
841829</t>
  </si>
  <si>
    <t>5CT
862009</t>
  </si>
  <si>
    <t>5ET
861638</t>
  </si>
  <si>
    <t>5CT
861954</t>
  </si>
  <si>
    <t>5CST
766301</t>
  </si>
  <si>
    <t>5CT
861983</t>
  </si>
  <si>
    <t>5ET
842023</t>
  </si>
  <si>
    <t>5CT
875028</t>
  </si>
  <si>
    <t>5ET
861640</t>
  </si>
  <si>
    <t>5CT
861956</t>
  </si>
  <si>
    <t>5CST
862192</t>
  </si>
  <si>
    <t>5CT
861986</t>
  </si>
  <si>
    <t>5ET
861622</t>
  </si>
  <si>
    <t>5CT
887054</t>
  </si>
  <si>
    <t>5ET
861641</t>
  </si>
  <si>
    <t>5CT
861958</t>
  </si>
  <si>
    <t xml:space="preserve">5CST
</t>
  </si>
  <si>
    <t>5CT
861990</t>
  </si>
  <si>
    <t>5ET
861623</t>
  </si>
  <si>
    <t>5CT
887067</t>
  </si>
  <si>
    <t>5ET
861642</t>
  </si>
  <si>
    <t>5CT
861962</t>
  </si>
  <si>
    <t>5CT
861994</t>
  </si>
  <si>
    <t>5ET
861625</t>
  </si>
  <si>
    <t>5CT
887068</t>
  </si>
  <si>
    <t>5ET
861643</t>
  </si>
  <si>
    <t>5CT
861967</t>
  </si>
  <si>
    <t>5CT
861997</t>
  </si>
  <si>
    <t>5ET
861629</t>
  </si>
  <si>
    <t>5CT
888554</t>
  </si>
  <si>
    <t>5ET
861644</t>
  </si>
  <si>
    <t>5CT
861969</t>
  </si>
  <si>
    <t>5CT
861999</t>
  </si>
  <si>
    <t>5ET
861630</t>
  </si>
  <si>
    <t>5CT
 765760</t>
  </si>
  <si>
    <t>5ET
861646</t>
  </si>
  <si>
    <t>5FT
861668</t>
  </si>
  <si>
    <t>5ET
862015</t>
  </si>
  <si>
    <t>5FT
861694</t>
  </si>
  <si>
    <t>5ET
862026</t>
  </si>
  <si>
    <t>5FT
862079</t>
  </si>
  <si>
    <t>5ET
861655</t>
  </si>
  <si>
    <t>5FT
861670</t>
  </si>
  <si>
    <t>5ET
862016</t>
  </si>
  <si>
    <t>5FT
861702</t>
  </si>
  <si>
    <t>5ET
862027</t>
  </si>
  <si>
    <t>5FT
862081</t>
  </si>
  <si>
    <t>5ET
861657</t>
  </si>
  <si>
    <t>5FT
861672</t>
  </si>
  <si>
    <t>5ET
862017</t>
  </si>
  <si>
    <t>5FT
861705</t>
  </si>
  <si>
    <t>5ET
862031</t>
  </si>
  <si>
    <t>5FT
862086</t>
  </si>
  <si>
    <t>5ET
861658</t>
  </si>
  <si>
    <t>5FT
861673</t>
  </si>
  <si>
    <t>5ET
862018</t>
  </si>
  <si>
    <t>5FT
861711</t>
  </si>
  <si>
    <t>5ET
862034</t>
  </si>
  <si>
    <t>5FT
862089</t>
  </si>
  <si>
    <t>5ET
861665</t>
  </si>
  <si>
    <t>5FT
861674</t>
  </si>
  <si>
    <t>5ET
862022</t>
  </si>
  <si>
    <t>5FT
861713</t>
  </si>
  <si>
    <t>5ET
862038</t>
  </si>
  <si>
    <t>5FT
862091</t>
  </si>
  <si>
    <t>5ET
862012</t>
  </si>
  <si>
    <t>5FT
861676</t>
  </si>
  <si>
    <t>5ET
862023</t>
  </si>
  <si>
    <t>5FT
862075</t>
  </si>
  <si>
    <t>5ET
862040</t>
  </si>
  <si>
    <t>5FT
862093</t>
  </si>
  <si>
    <t>5ET
862014</t>
  </si>
  <si>
    <t>5FT
861677</t>
  </si>
  <si>
    <t>5ET
862025</t>
  </si>
  <si>
    <t>5FT
862076</t>
  </si>
  <si>
    <t>5ET
862041</t>
  </si>
  <si>
    <t>5FT
862099</t>
  </si>
  <si>
    <t>5FT
887094</t>
  </si>
  <si>
    <t>5ET
862058</t>
  </si>
  <si>
    <t>5RAC
106827</t>
  </si>
  <si>
    <t>5ET
887081</t>
  </si>
  <si>
    <t>5RAC
861737</t>
  </si>
  <si>
    <t>5ET
862042</t>
  </si>
  <si>
    <t>5FT
887095</t>
  </si>
  <si>
    <t>5ET
862064</t>
  </si>
  <si>
    <t>5RAC
766190</t>
  </si>
  <si>
    <t>5ET
887082</t>
  </si>
  <si>
    <t>5RAC
861740</t>
  </si>
  <si>
    <t>5ET
862044</t>
  </si>
  <si>
    <t>5FT
887096</t>
  </si>
  <si>
    <t>5ET
877606</t>
  </si>
  <si>
    <t>5RAC
836879</t>
  </si>
  <si>
    <t>5ET
887084</t>
  </si>
  <si>
    <t>5RAC
861741</t>
  </si>
  <si>
    <t>5ET
862045</t>
  </si>
  <si>
    <t>5FT
888581</t>
  </si>
  <si>
    <t>5ET
887072</t>
  </si>
  <si>
    <t>5RAC
861721</t>
  </si>
  <si>
    <t>5ET
887087</t>
  </si>
  <si>
    <t>5RAC
861743</t>
  </si>
  <si>
    <t>5ET
862050</t>
  </si>
  <si>
    <t>5FT
766091</t>
  </si>
  <si>
    <t>5ET
887074</t>
  </si>
  <si>
    <t>5RAC
861725</t>
  </si>
  <si>
    <t>5ET
887092</t>
  </si>
  <si>
    <t>5RAC
861744</t>
  </si>
  <si>
    <t>5ET
862051</t>
  </si>
  <si>
    <t xml:space="preserve">5FT
</t>
  </si>
  <si>
    <t>5ET
887075</t>
  </si>
  <si>
    <t>5RAC
861729</t>
  </si>
  <si>
    <t>5ET
888557</t>
  </si>
  <si>
    <t>5RAC
861745</t>
  </si>
  <si>
    <t>5ET
862057</t>
  </si>
  <si>
    <t>5ET
887079</t>
  </si>
  <si>
    <t>5RAC
861733</t>
  </si>
  <si>
    <t>5ET
888561</t>
  </si>
  <si>
    <t>5RAC
861751</t>
  </si>
  <si>
    <t>5RAC
861752</t>
  </si>
  <si>
    <t>5ET
765907</t>
  </si>
  <si>
    <t>5RAC
862121</t>
  </si>
  <si>
    <t>5CT
 765766</t>
  </si>
  <si>
    <t>5RAC
862139</t>
  </si>
  <si>
    <t>5ET
888563</t>
  </si>
  <si>
    <t>5RAC
861756</t>
  </si>
  <si>
    <t xml:space="preserve">5ET
</t>
  </si>
  <si>
    <t>5RAC
862122</t>
  </si>
  <si>
    <t>5CT
 765789</t>
  </si>
  <si>
    <t>5RAC
874140</t>
  </si>
  <si>
    <t>5ET
888565</t>
  </si>
  <si>
    <t>5RAC
862104</t>
  </si>
  <si>
    <t>5RAC
862124</t>
  </si>
  <si>
    <t>5CT
861546</t>
  </si>
  <si>
    <t>5RAC
766230</t>
  </si>
  <si>
    <t>5ET
888568</t>
  </si>
  <si>
    <t>5RAC
862108</t>
  </si>
  <si>
    <t>5RAC
862129</t>
  </si>
  <si>
    <t>5CT
861562</t>
  </si>
  <si>
    <t xml:space="preserve">5RAC
</t>
  </si>
  <si>
    <t>5ET
888570</t>
  </si>
  <si>
    <t>5RAC
862109</t>
  </si>
  <si>
    <t>5RAC
862130</t>
  </si>
  <si>
    <t>5CT
861615</t>
  </si>
  <si>
    <t>5ET
888578</t>
  </si>
  <si>
    <t>5RAC
862110</t>
  </si>
  <si>
    <t>5RAC
862133</t>
  </si>
  <si>
    <t>5CT
861824</t>
  </si>
  <si>
    <t>5ET
 765938</t>
  </si>
  <si>
    <t>5RAC
862112</t>
  </si>
  <si>
    <t>5RAC
862137</t>
  </si>
  <si>
    <t>5CT
862005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</si>
</sst>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2"/>
      <color rgb="FFFF0000"/>
      <name val="Times New Roman"/>
      <family val="1"/>
    </font>
    <font>
      <b/>
      <sz val="14"/>
      <color theme="1"/>
      <name val="Calibri"/>
      <family val="2"/>
      <scheme val="minor"/>
    </font>
    <font>
      <b/>
      <sz val="10"/>
      <name val="Times New Roman"/>
      <family val="1"/>
    </font>
    <font>
      <b/>
      <sz val="18"/>
      <color theme="1"/>
      <name val="Calibri"/>
      <family val="2"/>
      <scheme val="minor"/>
    </font>
    <font>
      <b/>
      <sz val="12"/>
      <color rgb="FF002060"/>
      <name val="Times New Roman"/>
      <family val="1"/>
    </font>
    <font>
      <sz val="12"/>
      <color indexed="8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indexed="8"/>
      <name val="SansSerif"/>
    </font>
    <font>
      <sz val="12"/>
      <color rgb="FF444444"/>
      <name val="Verdana"/>
      <family val="2"/>
    </font>
    <font>
      <sz val="12"/>
      <color rgb="FF444444"/>
      <name val="Calibri"/>
      <family val="2"/>
      <scheme val="minor"/>
    </font>
    <font>
      <sz val="12"/>
      <color rgb="FFFF0000"/>
      <name val="Verdana"/>
      <family val="2"/>
    </font>
    <font>
      <sz val="12"/>
      <color rgb="FFFF0000"/>
      <name val="Calibri"/>
      <family val="2"/>
      <scheme val="minor"/>
    </font>
    <font>
      <sz val="10"/>
      <color theme="1"/>
      <name val="Nikosh"/>
    </font>
    <font>
      <sz val="10"/>
      <color indexed="8"/>
      <name val="Nikosh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3" borderId="2" xfId="0" applyFill="1" applyBorder="1"/>
    <xf numFmtId="0" fontId="0" fillId="0" borderId="2" xfId="0" applyBorder="1"/>
    <xf numFmtId="0" fontId="0" fillId="3" borderId="2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3" borderId="1" xfId="0" applyFill="1" applyBorder="1"/>
    <xf numFmtId="0" fontId="0" fillId="2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</cellXfs>
  <cellStyles count="1">
    <cellStyle name="Normal" xfId="0" builtinId="0"/>
  </cellStyles>
  <dxfs count="28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7F7A1-138D-47A8-87B4-510FE3AF8149}">
  <dimension ref="A1:P15"/>
  <sheetViews>
    <sheetView zoomScale="40" zoomScaleNormal="40" workbookViewId="0">
      <selection activeCell="B3" sqref="B3:G10"/>
    </sheetView>
  </sheetViews>
  <sheetFormatPr defaultRowHeight="15" x14ac:dyDescent="0.25"/>
  <cols>
    <col min="1" max="1" width="2.7109375" bestFit="1" customWidth="1"/>
    <col min="2" max="7" width="14.7109375" customWidth="1"/>
    <col min="10" max="15" width="8.85546875" style="2"/>
  </cols>
  <sheetData>
    <row r="1" spans="1:16" ht="32.450000000000003" customHeight="1" x14ac:dyDescent="0.25">
      <c r="A1" s="34" t="s">
        <v>1</v>
      </c>
      <c r="B1" s="35"/>
      <c r="C1" s="3">
        <f>K13</f>
        <v>115</v>
      </c>
      <c r="D1" s="34" t="s">
        <v>3</v>
      </c>
      <c r="E1" s="35"/>
      <c r="F1" s="34">
        <f>K12</f>
        <v>47</v>
      </c>
      <c r="G1" s="35"/>
    </row>
    <row r="2" spans="1:16" ht="15.75" x14ac:dyDescent="0.25">
      <c r="A2" s="2" t="s">
        <v>0</v>
      </c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J2" s="11" t="s">
        <v>4</v>
      </c>
      <c r="K2" s="12" t="s">
        <v>5</v>
      </c>
      <c r="L2" s="13" t="s">
        <v>6</v>
      </c>
      <c r="M2" s="12" t="s">
        <v>5</v>
      </c>
      <c r="N2" s="13" t="s">
        <v>6</v>
      </c>
      <c r="O2" s="12" t="s">
        <v>5</v>
      </c>
      <c r="P2" s="13" t="s">
        <v>6</v>
      </c>
    </row>
    <row r="3" spans="1:16" ht="79.900000000000006" customHeight="1" x14ac:dyDescent="0.25">
      <c r="A3" s="2">
        <v>1</v>
      </c>
      <c r="B3" s="6" t="s">
        <v>2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J3" s="11">
        <v>1</v>
      </c>
      <c r="K3" s="7"/>
      <c r="L3" s="14">
        <v>789428</v>
      </c>
      <c r="M3" s="14">
        <v>861527</v>
      </c>
      <c r="N3" s="14">
        <v>861784</v>
      </c>
      <c r="O3" s="14">
        <v>861548</v>
      </c>
      <c r="P3" s="14">
        <v>861804</v>
      </c>
    </row>
    <row r="4" spans="1:16" ht="79.900000000000006" customHeight="1" x14ac:dyDescent="0.25">
      <c r="A4" s="2">
        <v>2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J4" s="11">
        <v>2</v>
      </c>
      <c r="K4" s="14">
        <v>837076</v>
      </c>
      <c r="L4" s="14">
        <v>837044</v>
      </c>
      <c r="M4" s="14">
        <v>861529</v>
      </c>
      <c r="N4" s="14">
        <v>861787</v>
      </c>
      <c r="O4" s="14">
        <v>861549</v>
      </c>
      <c r="P4" s="14">
        <v>861806</v>
      </c>
    </row>
    <row r="5" spans="1:16" ht="79.900000000000006" customHeight="1" x14ac:dyDescent="0.25">
      <c r="A5" s="2">
        <v>3</v>
      </c>
      <c r="B5" s="1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1" t="s">
        <v>36</v>
      </c>
      <c r="J5" s="11">
        <v>3</v>
      </c>
      <c r="K5" s="14">
        <v>838034</v>
      </c>
      <c r="L5" s="15">
        <v>846611</v>
      </c>
      <c r="M5" s="14">
        <v>861532</v>
      </c>
      <c r="N5" s="14">
        <v>861791</v>
      </c>
      <c r="O5" s="14">
        <v>861550</v>
      </c>
      <c r="P5" s="14">
        <v>861808</v>
      </c>
    </row>
    <row r="6" spans="1:16" ht="79.900000000000006" customHeight="1" x14ac:dyDescent="0.25">
      <c r="A6" s="2">
        <v>4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42</v>
      </c>
      <c r="J6" s="11">
        <v>4</v>
      </c>
      <c r="K6" s="14">
        <v>839321</v>
      </c>
      <c r="L6" s="14">
        <v>861763</v>
      </c>
      <c r="M6" s="14">
        <v>861536</v>
      </c>
      <c r="N6" s="14">
        <v>861793</v>
      </c>
      <c r="O6" s="14">
        <v>861551</v>
      </c>
      <c r="P6" s="14">
        <v>862146</v>
      </c>
    </row>
    <row r="7" spans="1:16" ht="79.900000000000006" customHeight="1" x14ac:dyDescent="0.25">
      <c r="A7" s="2">
        <v>5</v>
      </c>
      <c r="B7" s="1" t="s">
        <v>43</v>
      </c>
      <c r="C7" s="1" t="s">
        <v>44</v>
      </c>
      <c r="D7" s="1" t="s">
        <v>45</v>
      </c>
      <c r="E7" s="1" t="s">
        <v>46</v>
      </c>
      <c r="F7" s="1" t="s">
        <v>47</v>
      </c>
      <c r="G7" s="1" t="s">
        <v>48</v>
      </c>
      <c r="J7" s="11">
        <v>5</v>
      </c>
      <c r="K7" s="14">
        <v>861521</v>
      </c>
      <c r="L7" s="14">
        <v>861770</v>
      </c>
      <c r="M7" s="14">
        <v>861538</v>
      </c>
      <c r="N7" s="14">
        <v>861795</v>
      </c>
      <c r="O7" s="14">
        <v>861554</v>
      </c>
      <c r="P7" s="14">
        <v>862152</v>
      </c>
    </row>
    <row r="8" spans="1:16" ht="79.900000000000006" customHeight="1" x14ac:dyDescent="0.25">
      <c r="A8" s="2">
        <v>6</v>
      </c>
      <c r="B8" s="1" t="s">
        <v>49</v>
      </c>
      <c r="C8" s="1" t="s">
        <v>50</v>
      </c>
      <c r="D8" s="1" t="s">
        <v>51</v>
      </c>
      <c r="E8" s="1" t="s">
        <v>52</v>
      </c>
      <c r="F8" s="1" t="s">
        <v>53</v>
      </c>
      <c r="G8" s="1" t="s">
        <v>54</v>
      </c>
      <c r="J8" s="11">
        <v>6</v>
      </c>
      <c r="K8" s="14">
        <v>861522</v>
      </c>
      <c r="L8" s="14">
        <v>861771</v>
      </c>
      <c r="M8" s="14">
        <v>861539</v>
      </c>
      <c r="N8" s="14">
        <v>861796</v>
      </c>
      <c r="O8" s="14">
        <v>861555</v>
      </c>
      <c r="P8" s="14">
        <v>862153</v>
      </c>
    </row>
    <row r="9" spans="1:16" ht="79.900000000000006" customHeight="1" x14ac:dyDescent="0.25">
      <c r="A9" s="2">
        <v>7</v>
      </c>
      <c r="B9" s="1" t="s">
        <v>55</v>
      </c>
      <c r="C9" s="1" t="s">
        <v>56</v>
      </c>
      <c r="D9" s="1" t="s">
        <v>57</v>
      </c>
      <c r="E9" s="1" t="s">
        <v>58</v>
      </c>
      <c r="F9" s="1" t="s">
        <v>59</v>
      </c>
      <c r="G9" s="1" t="s">
        <v>60</v>
      </c>
      <c r="J9" s="11">
        <v>7</v>
      </c>
      <c r="K9" s="16">
        <v>861524</v>
      </c>
      <c r="L9" s="14">
        <v>861776</v>
      </c>
      <c r="M9" s="14">
        <v>861545</v>
      </c>
      <c r="N9" s="14">
        <v>861798</v>
      </c>
      <c r="O9" s="14">
        <v>861556</v>
      </c>
      <c r="P9" s="14">
        <v>862155</v>
      </c>
    </row>
    <row r="10" spans="1:16" ht="79.900000000000006" customHeight="1" x14ac:dyDescent="0.25">
      <c r="A10" s="2">
        <v>8</v>
      </c>
      <c r="B10" s="1" t="s">
        <v>61</v>
      </c>
      <c r="C10" s="1" t="s">
        <v>62</v>
      </c>
      <c r="D10" s="1" t="s">
        <v>63</v>
      </c>
      <c r="E10" s="1" t="s">
        <v>64</v>
      </c>
      <c r="F10" s="1" t="s">
        <v>65</v>
      </c>
      <c r="G10" s="1" t="s">
        <v>66</v>
      </c>
      <c r="J10" s="11">
        <v>8</v>
      </c>
      <c r="K10" s="14">
        <v>861525</v>
      </c>
      <c r="L10" s="14">
        <v>861779</v>
      </c>
      <c r="M10" s="14">
        <v>861547</v>
      </c>
      <c r="N10" s="14">
        <v>861799</v>
      </c>
      <c r="O10" s="14">
        <v>861557</v>
      </c>
      <c r="P10" s="14">
        <v>862156</v>
      </c>
    </row>
    <row r="11" spans="1:16" ht="15.75" x14ac:dyDescent="0.25">
      <c r="J11" s="11" t="s">
        <v>7</v>
      </c>
      <c r="K11" s="36">
        <f>COUNTA(K3:M10)</f>
        <v>23</v>
      </c>
      <c r="L11" s="36"/>
      <c r="M11" s="36"/>
      <c r="N11" s="36">
        <f>COUNTA(N3:P10)</f>
        <v>24</v>
      </c>
      <c r="O11" s="36"/>
      <c r="P11" s="36"/>
    </row>
    <row r="12" spans="1:16" ht="14.45" customHeight="1" x14ac:dyDescent="0.25">
      <c r="J12" s="11" t="s">
        <v>8</v>
      </c>
      <c r="K12" s="33">
        <f>K11+N11</f>
        <v>47</v>
      </c>
      <c r="L12" s="33"/>
      <c r="M12" s="33"/>
      <c r="N12" s="33"/>
      <c r="O12" s="33"/>
      <c r="P12" s="33"/>
    </row>
    <row r="13" spans="1:16" ht="22.15" customHeight="1" x14ac:dyDescent="0.25">
      <c r="J13" s="5" t="s">
        <v>9</v>
      </c>
      <c r="K13" s="33">
        <v>115</v>
      </c>
      <c r="L13" s="33"/>
      <c r="M13" s="33"/>
      <c r="N13" s="33"/>
      <c r="O13" s="33"/>
      <c r="P13" s="33"/>
    </row>
    <row r="14" spans="1:16" ht="25.15" customHeight="1" x14ac:dyDescent="0.25"/>
    <row r="15" spans="1:16" ht="25.15" customHeight="1" x14ac:dyDescent="0.25"/>
  </sheetData>
  <mergeCells count="7">
    <mergeCell ref="K13:P13"/>
    <mergeCell ref="F1:G1"/>
    <mergeCell ref="A1:B1"/>
    <mergeCell ref="D1:E1"/>
    <mergeCell ref="K11:M11"/>
    <mergeCell ref="N11:P11"/>
    <mergeCell ref="K12:P12"/>
  </mergeCells>
  <conditionalFormatting sqref="K4:K10">
    <cfRule type="duplicateValues" dxfId="280" priority="37"/>
    <cfRule type="duplicateValues" dxfId="279" priority="42"/>
    <cfRule type="duplicateValues" dxfId="278" priority="36"/>
    <cfRule type="duplicateValues" dxfId="277" priority="38"/>
    <cfRule type="duplicateValues" dxfId="276" priority="39"/>
    <cfRule type="duplicateValues" dxfId="275" priority="40"/>
    <cfRule type="duplicateValues" dxfId="274" priority="41"/>
  </conditionalFormatting>
  <conditionalFormatting sqref="L3:L10">
    <cfRule type="duplicateValues" dxfId="273" priority="15"/>
    <cfRule type="duplicateValues" dxfId="272" priority="16"/>
    <cfRule type="duplicateValues" dxfId="271" priority="17"/>
    <cfRule type="duplicateValues" dxfId="270" priority="18"/>
    <cfRule type="duplicateValues" dxfId="269" priority="19"/>
    <cfRule type="duplicateValues" dxfId="268" priority="20"/>
    <cfRule type="duplicateValues" dxfId="267" priority="21"/>
  </conditionalFormatting>
  <conditionalFormatting sqref="M3:M9">
    <cfRule type="duplicateValues" dxfId="266" priority="30"/>
    <cfRule type="duplicateValues" dxfId="265" priority="29"/>
  </conditionalFormatting>
  <conditionalFormatting sqref="M3:M10">
    <cfRule type="duplicateValues" dxfId="264" priority="33"/>
    <cfRule type="duplicateValues" dxfId="263" priority="31"/>
    <cfRule type="duplicateValues" dxfId="262" priority="34"/>
    <cfRule type="duplicateValues" dxfId="261" priority="35"/>
    <cfRule type="duplicateValues" dxfId="260" priority="32"/>
  </conditionalFormatting>
  <conditionalFormatting sqref="M10">
    <cfRule type="duplicateValues" dxfId="259" priority="28"/>
  </conditionalFormatting>
  <conditionalFormatting sqref="N3:N10">
    <cfRule type="duplicateValues" dxfId="258" priority="11"/>
    <cfRule type="duplicateValues" dxfId="257" priority="8"/>
    <cfRule type="duplicateValues" dxfId="256" priority="9"/>
    <cfRule type="duplicateValues" dxfId="255" priority="10"/>
    <cfRule type="duplicateValues" dxfId="254" priority="12"/>
    <cfRule type="duplicateValues" dxfId="253" priority="13"/>
    <cfRule type="duplicateValues" dxfId="252" priority="14"/>
  </conditionalFormatting>
  <conditionalFormatting sqref="O3:O7 O10">
    <cfRule type="duplicateValues" dxfId="251" priority="25"/>
    <cfRule type="duplicateValues" dxfId="250" priority="26"/>
    <cfRule type="duplicateValues" dxfId="249" priority="27"/>
    <cfRule type="duplicateValues" dxfId="248" priority="23"/>
    <cfRule type="duplicateValues" dxfId="247" priority="24"/>
  </conditionalFormatting>
  <conditionalFormatting sqref="O3:O7">
    <cfRule type="duplicateValues" dxfId="246" priority="22"/>
  </conditionalFormatting>
  <conditionalFormatting sqref="P3:P10">
    <cfRule type="duplicateValues" dxfId="245" priority="6"/>
    <cfRule type="duplicateValues" dxfId="244" priority="7"/>
    <cfRule type="duplicateValues" dxfId="243" priority="1"/>
    <cfRule type="duplicateValues" dxfId="242" priority="5"/>
    <cfRule type="duplicateValues" dxfId="241" priority="4"/>
    <cfRule type="duplicateValues" dxfId="240" priority="3"/>
    <cfRule type="duplicateValues" dxfId="239" priority="2"/>
  </conditionalFormatting>
  <pageMargins left="0.5" right="0.25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061D-DF48-4971-8BFB-979D69FA84CF}">
  <dimension ref="A1:P15"/>
  <sheetViews>
    <sheetView zoomScale="55" zoomScaleNormal="55" workbookViewId="0">
      <selection activeCell="B3" sqref="B3:G10"/>
    </sheetView>
  </sheetViews>
  <sheetFormatPr defaultRowHeight="15" x14ac:dyDescent="0.25"/>
  <cols>
    <col min="1" max="1" width="2.7109375" bestFit="1" customWidth="1"/>
    <col min="2" max="7" width="14.7109375" customWidth="1"/>
    <col min="10" max="15" width="8.85546875" style="2"/>
  </cols>
  <sheetData>
    <row r="1" spans="1:16" ht="32.450000000000003" customHeight="1" x14ac:dyDescent="0.25">
      <c r="A1" s="34" t="s">
        <v>1</v>
      </c>
      <c r="B1" s="35"/>
      <c r="C1" s="4">
        <f>K13</f>
        <v>213</v>
      </c>
      <c r="D1" s="34" t="s">
        <v>3</v>
      </c>
      <c r="E1" s="35"/>
      <c r="F1" s="34">
        <f>K12</f>
        <v>47</v>
      </c>
      <c r="G1" s="35"/>
    </row>
    <row r="2" spans="1:16" ht="15.75" x14ac:dyDescent="0.25">
      <c r="A2" s="2" t="s">
        <v>0</v>
      </c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J2" s="11" t="s">
        <v>4</v>
      </c>
      <c r="K2" s="12" t="s">
        <v>5</v>
      </c>
      <c r="L2" s="13" t="s">
        <v>6</v>
      </c>
      <c r="M2" s="12" t="s">
        <v>5</v>
      </c>
      <c r="N2" s="13" t="s">
        <v>6</v>
      </c>
      <c r="O2" s="12" t="s">
        <v>5</v>
      </c>
      <c r="P2" s="13" t="s">
        <v>6</v>
      </c>
    </row>
    <row r="3" spans="1:16" ht="79.900000000000006" customHeight="1" x14ac:dyDescent="0.25">
      <c r="A3" s="2">
        <v>1</v>
      </c>
      <c r="B3" s="6" t="s">
        <v>2</v>
      </c>
      <c r="C3" s="1" t="s">
        <v>67</v>
      </c>
      <c r="D3" s="1" t="s">
        <v>68</v>
      </c>
      <c r="E3" s="1" t="s">
        <v>69</v>
      </c>
      <c r="F3" s="1" t="s">
        <v>70</v>
      </c>
      <c r="G3" s="1" t="s">
        <v>71</v>
      </c>
      <c r="J3" s="11">
        <v>1</v>
      </c>
      <c r="K3" s="7"/>
      <c r="L3" s="17">
        <v>862158</v>
      </c>
      <c r="M3" s="14">
        <v>861569</v>
      </c>
      <c r="N3" s="14">
        <v>862171</v>
      </c>
      <c r="O3" s="14">
        <v>861581</v>
      </c>
      <c r="P3" s="15">
        <v>870537</v>
      </c>
    </row>
    <row r="4" spans="1:16" ht="79.900000000000006" customHeight="1" x14ac:dyDescent="0.25">
      <c r="A4" s="2">
        <v>2</v>
      </c>
      <c r="B4" s="1" t="s">
        <v>72</v>
      </c>
      <c r="C4" s="1" t="s">
        <v>73</v>
      </c>
      <c r="D4" s="1" t="s">
        <v>74</v>
      </c>
      <c r="E4" s="1" t="s">
        <v>75</v>
      </c>
      <c r="F4" s="1" t="s">
        <v>76</v>
      </c>
      <c r="G4" s="1" t="s">
        <v>77</v>
      </c>
      <c r="J4" s="11">
        <v>2</v>
      </c>
      <c r="K4" s="14">
        <v>861558</v>
      </c>
      <c r="L4" s="18">
        <v>862162</v>
      </c>
      <c r="M4" s="14">
        <v>861570</v>
      </c>
      <c r="N4" s="14">
        <v>862173</v>
      </c>
      <c r="O4" s="14">
        <v>861583</v>
      </c>
      <c r="P4" s="15">
        <v>872928</v>
      </c>
    </row>
    <row r="5" spans="1:16" ht="79.900000000000006" customHeight="1" x14ac:dyDescent="0.25">
      <c r="A5" s="2">
        <v>3</v>
      </c>
      <c r="B5" s="1" t="s">
        <v>78</v>
      </c>
      <c r="C5" s="1" t="s">
        <v>79</v>
      </c>
      <c r="D5" s="1" t="s">
        <v>80</v>
      </c>
      <c r="E5" s="1" t="s">
        <v>81</v>
      </c>
      <c r="F5" s="1" t="s">
        <v>82</v>
      </c>
      <c r="G5" s="1" t="s">
        <v>83</v>
      </c>
      <c r="J5" s="11">
        <v>3</v>
      </c>
      <c r="K5" s="14">
        <v>861561</v>
      </c>
      <c r="L5" s="18">
        <v>862163</v>
      </c>
      <c r="M5" s="14">
        <v>861571</v>
      </c>
      <c r="N5" s="14">
        <v>862187</v>
      </c>
      <c r="O5" s="14">
        <v>861585</v>
      </c>
      <c r="P5" s="14">
        <v>873271</v>
      </c>
    </row>
    <row r="6" spans="1:16" ht="79.900000000000006" customHeight="1" x14ac:dyDescent="0.25">
      <c r="A6" s="2">
        <v>4</v>
      </c>
      <c r="B6" s="1" t="s">
        <v>84</v>
      </c>
      <c r="C6" s="1" t="s">
        <v>85</v>
      </c>
      <c r="D6" s="1" t="s">
        <v>86</v>
      </c>
      <c r="E6" s="1" t="s">
        <v>87</v>
      </c>
      <c r="F6" s="1" t="s">
        <v>88</v>
      </c>
      <c r="G6" s="1" t="s">
        <v>89</v>
      </c>
      <c r="J6" s="11">
        <v>4</v>
      </c>
      <c r="K6" s="14">
        <v>861564</v>
      </c>
      <c r="L6" s="19">
        <v>862164</v>
      </c>
      <c r="M6" s="14">
        <v>861572</v>
      </c>
      <c r="N6" s="14">
        <v>862188</v>
      </c>
      <c r="O6" s="14">
        <v>861586</v>
      </c>
      <c r="P6" s="14">
        <v>874036</v>
      </c>
    </row>
    <row r="7" spans="1:16" ht="79.900000000000006" customHeight="1" x14ac:dyDescent="0.25">
      <c r="A7" s="2">
        <v>5</v>
      </c>
      <c r="B7" s="1" t="s">
        <v>90</v>
      </c>
      <c r="C7" s="1" t="s">
        <v>91</v>
      </c>
      <c r="D7" s="1" t="s">
        <v>92</v>
      </c>
      <c r="E7" s="1" t="s">
        <v>93</v>
      </c>
      <c r="F7" s="1" t="s">
        <v>94</v>
      </c>
      <c r="G7" s="1" t="s">
        <v>95</v>
      </c>
      <c r="J7" s="11">
        <v>5</v>
      </c>
      <c r="K7" s="14">
        <v>861565</v>
      </c>
      <c r="L7" s="14">
        <v>862165</v>
      </c>
      <c r="M7" s="14">
        <v>861573</v>
      </c>
      <c r="N7" s="14">
        <v>862189</v>
      </c>
      <c r="O7" s="14">
        <v>861590</v>
      </c>
      <c r="P7" s="15">
        <v>874172</v>
      </c>
    </row>
    <row r="8" spans="1:16" ht="79.900000000000006" customHeight="1" x14ac:dyDescent="0.25">
      <c r="A8" s="2">
        <v>6</v>
      </c>
      <c r="B8" s="1" t="s">
        <v>96</v>
      </c>
      <c r="C8" s="1" t="s">
        <v>97</v>
      </c>
      <c r="D8" s="1" t="s">
        <v>98</v>
      </c>
      <c r="E8" s="1" t="s">
        <v>99</v>
      </c>
      <c r="F8" s="1" t="s">
        <v>100</v>
      </c>
      <c r="G8" s="1" t="s">
        <v>101</v>
      </c>
      <c r="J8" s="11">
        <v>6</v>
      </c>
      <c r="K8" s="14">
        <v>861566</v>
      </c>
      <c r="L8" s="14">
        <v>862166</v>
      </c>
      <c r="M8" s="14">
        <v>861574</v>
      </c>
      <c r="N8" s="14">
        <v>862197</v>
      </c>
      <c r="O8" s="14">
        <v>861593</v>
      </c>
      <c r="P8" s="15">
        <v>874198</v>
      </c>
    </row>
    <row r="9" spans="1:16" ht="79.900000000000006" customHeight="1" x14ac:dyDescent="0.25">
      <c r="A9" s="2">
        <v>7</v>
      </c>
      <c r="B9" s="1" t="s">
        <v>102</v>
      </c>
      <c r="C9" s="1" t="s">
        <v>103</v>
      </c>
      <c r="D9" s="1" t="s">
        <v>104</v>
      </c>
      <c r="E9" s="1" t="s">
        <v>105</v>
      </c>
      <c r="F9" s="1" t="s">
        <v>106</v>
      </c>
      <c r="G9" s="1" t="s">
        <v>107</v>
      </c>
      <c r="J9" s="11">
        <v>7</v>
      </c>
      <c r="K9" s="14">
        <v>861567</v>
      </c>
      <c r="L9" s="14">
        <v>862167</v>
      </c>
      <c r="M9" s="14">
        <v>861576</v>
      </c>
      <c r="N9" s="14">
        <v>862199</v>
      </c>
      <c r="O9" s="14">
        <v>861598</v>
      </c>
      <c r="P9" s="15">
        <v>874202</v>
      </c>
    </row>
    <row r="10" spans="1:16" ht="79.900000000000006" customHeight="1" x14ac:dyDescent="0.25">
      <c r="A10" s="2">
        <v>8</v>
      </c>
      <c r="B10" s="1" t="s">
        <v>108</v>
      </c>
      <c r="C10" s="1" t="s">
        <v>109</v>
      </c>
      <c r="D10" s="1" t="s">
        <v>110</v>
      </c>
      <c r="E10" s="1" t="s">
        <v>111</v>
      </c>
      <c r="F10" s="1" t="s">
        <v>112</v>
      </c>
      <c r="G10" s="1" t="s">
        <v>113</v>
      </c>
      <c r="J10" s="11">
        <v>8</v>
      </c>
      <c r="K10" s="14">
        <v>861568</v>
      </c>
      <c r="L10" s="14">
        <v>862168</v>
      </c>
      <c r="M10" s="14">
        <v>861578</v>
      </c>
      <c r="N10" s="14">
        <v>870306</v>
      </c>
      <c r="O10" s="14">
        <v>861600</v>
      </c>
      <c r="P10" s="15">
        <v>874224</v>
      </c>
    </row>
    <row r="11" spans="1:16" ht="15.75" x14ac:dyDescent="0.25">
      <c r="J11" s="11" t="s">
        <v>7</v>
      </c>
      <c r="K11" s="36">
        <f>COUNTA(K3:M10)</f>
        <v>23</v>
      </c>
      <c r="L11" s="36"/>
      <c r="M11" s="36"/>
      <c r="N11" s="36">
        <f>COUNTA(N3:P10)</f>
        <v>24</v>
      </c>
      <c r="O11" s="36"/>
      <c r="P11" s="36"/>
    </row>
    <row r="12" spans="1:16" ht="14.45" customHeight="1" x14ac:dyDescent="0.25">
      <c r="J12" s="11" t="s">
        <v>8</v>
      </c>
      <c r="K12" s="33">
        <f>K11+N11</f>
        <v>47</v>
      </c>
      <c r="L12" s="33"/>
      <c r="M12" s="33"/>
      <c r="N12" s="33"/>
      <c r="O12" s="33"/>
      <c r="P12" s="33"/>
    </row>
    <row r="13" spans="1:16" ht="22.15" customHeight="1" x14ac:dyDescent="0.25">
      <c r="J13" s="5" t="s">
        <v>9</v>
      </c>
      <c r="K13" s="33">
        <v>213</v>
      </c>
      <c r="L13" s="33"/>
      <c r="M13" s="33"/>
      <c r="N13" s="33"/>
      <c r="O13" s="33"/>
      <c r="P13" s="33"/>
    </row>
    <row r="14" spans="1:16" ht="25.15" customHeight="1" x14ac:dyDescent="0.25"/>
    <row r="15" spans="1:16" ht="25.15" customHeight="1" x14ac:dyDescent="0.25"/>
  </sheetData>
  <mergeCells count="7">
    <mergeCell ref="K13:P13"/>
    <mergeCell ref="A1:B1"/>
    <mergeCell ref="F1:G1"/>
    <mergeCell ref="K11:M11"/>
    <mergeCell ref="N11:P11"/>
    <mergeCell ref="K12:P12"/>
    <mergeCell ref="D1:E1"/>
  </mergeCells>
  <conditionalFormatting sqref="K4:K10">
    <cfRule type="duplicateValues" dxfId="238" priority="65"/>
    <cfRule type="duplicateValues" dxfId="237" priority="64"/>
    <cfRule type="duplicateValues" dxfId="236" priority="63"/>
    <cfRule type="duplicateValues" dxfId="235" priority="62"/>
    <cfRule type="duplicateValues" dxfId="234" priority="66"/>
  </conditionalFormatting>
  <conditionalFormatting sqref="K6:K10">
    <cfRule type="duplicateValues" dxfId="233" priority="61"/>
    <cfRule type="duplicateValues" dxfId="232" priority="60"/>
  </conditionalFormatting>
  <conditionalFormatting sqref="L3:L8">
    <cfRule type="duplicateValues" dxfId="231" priority="33"/>
    <cfRule type="duplicateValues" dxfId="230" priority="39"/>
    <cfRule type="duplicateValues" dxfId="229" priority="38"/>
    <cfRule type="duplicateValues" dxfId="228" priority="37"/>
    <cfRule type="duplicateValues" dxfId="227" priority="36"/>
    <cfRule type="duplicateValues" dxfId="226" priority="35"/>
    <cfRule type="duplicateValues" dxfId="225" priority="34"/>
  </conditionalFormatting>
  <conditionalFormatting sqref="L9">
    <cfRule type="duplicateValues" dxfId="224" priority="26"/>
    <cfRule type="duplicateValues" dxfId="223" priority="21"/>
    <cfRule type="duplicateValues" dxfId="222" priority="22"/>
    <cfRule type="duplicateValues" dxfId="221" priority="23"/>
    <cfRule type="duplicateValues" dxfId="220" priority="24"/>
    <cfRule type="duplicateValues" dxfId="219" priority="25"/>
  </conditionalFormatting>
  <conditionalFormatting sqref="L10">
    <cfRule type="duplicateValues" dxfId="218" priority="27"/>
    <cfRule type="duplicateValues" dxfId="217" priority="28"/>
    <cfRule type="duplicateValues" dxfId="216" priority="29"/>
    <cfRule type="duplicateValues" dxfId="215" priority="30"/>
    <cfRule type="duplicateValues" dxfId="214" priority="31"/>
    <cfRule type="duplicateValues" dxfId="213" priority="32"/>
  </conditionalFormatting>
  <conditionalFormatting sqref="M3:M10">
    <cfRule type="duplicateValues" dxfId="212" priority="58"/>
    <cfRule type="duplicateValues" dxfId="211" priority="53"/>
    <cfRule type="duplicateValues" dxfId="210" priority="54"/>
    <cfRule type="duplicateValues" dxfId="209" priority="55"/>
    <cfRule type="duplicateValues" dxfId="208" priority="56"/>
    <cfRule type="duplicateValues" dxfId="207" priority="57"/>
    <cfRule type="duplicateValues" dxfId="206" priority="59"/>
  </conditionalFormatting>
  <conditionalFormatting sqref="N3:N8">
    <cfRule type="duplicateValues" dxfId="205" priority="15"/>
    <cfRule type="duplicateValues" dxfId="204" priority="10"/>
    <cfRule type="duplicateValues" dxfId="203" priority="11"/>
    <cfRule type="duplicateValues" dxfId="202" priority="12"/>
    <cfRule type="duplicateValues" dxfId="201" priority="13"/>
    <cfRule type="duplicateValues" dxfId="200" priority="14"/>
  </conditionalFormatting>
  <conditionalFormatting sqref="N9:N10">
    <cfRule type="duplicateValues" dxfId="199" priority="16"/>
    <cfRule type="duplicateValues" dxfId="198" priority="17"/>
    <cfRule type="duplicateValues" dxfId="197" priority="8"/>
    <cfRule type="duplicateValues" dxfId="196" priority="9"/>
    <cfRule type="duplicateValues" dxfId="195" priority="20"/>
    <cfRule type="duplicateValues" dxfId="194" priority="19"/>
    <cfRule type="duplicateValues" dxfId="193" priority="18"/>
  </conditionalFormatting>
  <conditionalFormatting sqref="O3">
    <cfRule type="duplicateValues" dxfId="192" priority="47"/>
    <cfRule type="duplicateValues" dxfId="191" priority="46"/>
  </conditionalFormatting>
  <conditionalFormatting sqref="O4:O9">
    <cfRule type="duplicateValues" dxfId="190" priority="41"/>
    <cfRule type="duplicateValues" dxfId="189" priority="42"/>
    <cfRule type="duplicateValues" dxfId="188" priority="43"/>
    <cfRule type="duplicateValues" dxfId="187" priority="44"/>
    <cfRule type="duplicateValues" dxfId="186" priority="40"/>
    <cfRule type="duplicateValues" dxfId="185" priority="45"/>
  </conditionalFormatting>
  <conditionalFormatting sqref="O10 O3">
    <cfRule type="duplicateValues" dxfId="184" priority="52"/>
    <cfRule type="duplicateValues" dxfId="183" priority="51"/>
    <cfRule type="duplicateValues" dxfId="182" priority="49"/>
    <cfRule type="duplicateValues" dxfId="181" priority="48"/>
    <cfRule type="duplicateValues" dxfId="180" priority="50"/>
  </conditionalFormatting>
  <conditionalFormatting sqref="P3:P10">
    <cfRule type="duplicateValues" dxfId="179" priority="2"/>
    <cfRule type="duplicateValues" dxfId="178" priority="3"/>
    <cfRule type="duplicateValues" dxfId="177" priority="4"/>
    <cfRule type="duplicateValues" dxfId="176" priority="5"/>
    <cfRule type="duplicateValues" dxfId="175" priority="6"/>
    <cfRule type="duplicateValues" dxfId="174" priority="7"/>
    <cfRule type="duplicateValues" dxfId="173" priority="1"/>
  </conditionalFormatting>
  <pageMargins left="0.25" right="0.25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E2ADF-54C9-41CB-A24F-CF801D6D2A37}">
  <dimension ref="A1:P15"/>
  <sheetViews>
    <sheetView zoomScale="70" zoomScaleNormal="70" workbookViewId="0">
      <selection activeCell="B3" sqref="B3:G10"/>
    </sheetView>
  </sheetViews>
  <sheetFormatPr defaultRowHeight="15" x14ac:dyDescent="0.25"/>
  <cols>
    <col min="1" max="1" width="2.7109375" bestFit="1" customWidth="1"/>
    <col min="2" max="7" width="14.7109375" customWidth="1"/>
    <col min="10" max="15" width="8.85546875" style="2"/>
  </cols>
  <sheetData>
    <row r="1" spans="1:16" ht="32.450000000000003" customHeight="1" x14ac:dyDescent="0.25">
      <c r="A1" s="34" t="s">
        <v>1</v>
      </c>
      <c r="B1" s="35"/>
      <c r="C1" s="4">
        <f>K13</f>
        <v>214</v>
      </c>
      <c r="D1" s="34" t="s">
        <v>3</v>
      </c>
      <c r="E1" s="35"/>
      <c r="F1" s="34">
        <f>K12</f>
        <v>47</v>
      </c>
      <c r="G1" s="35"/>
    </row>
    <row r="2" spans="1:16" ht="15.75" x14ac:dyDescent="0.25">
      <c r="A2" s="2" t="s">
        <v>0</v>
      </c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J2" s="11" t="s">
        <v>4</v>
      </c>
      <c r="K2" s="12" t="s">
        <v>5</v>
      </c>
      <c r="L2" s="13" t="s">
        <v>6</v>
      </c>
      <c r="M2" s="12" t="s">
        <v>5</v>
      </c>
      <c r="N2" s="13" t="s">
        <v>6</v>
      </c>
      <c r="O2" s="12" t="s">
        <v>5</v>
      </c>
      <c r="P2" s="13" t="s">
        <v>6</v>
      </c>
    </row>
    <row r="3" spans="1:16" ht="79.900000000000006" customHeight="1" x14ac:dyDescent="0.25">
      <c r="A3" s="2">
        <v>1</v>
      </c>
      <c r="B3" s="6" t="s">
        <v>2</v>
      </c>
      <c r="C3" s="1" t="s">
        <v>114</v>
      </c>
      <c r="D3" s="1" t="s">
        <v>115</v>
      </c>
      <c r="E3" s="1" t="s">
        <v>116</v>
      </c>
      <c r="F3" s="1" t="s">
        <v>117</v>
      </c>
      <c r="G3" s="1" t="s">
        <v>118</v>
      </c>
      <c r="J3" s="11">
        <v>1</v>
      </c>
      <c r="K3" s="7"/>
      <c r="L3" s="15">
        <v>874242</v>
      </c>
      <c r="M3" s="14">
        <v>861814</v>
      </c>
      <c r="N3" s="15">
        <v>887108</v>
      </c>
      <c r="O3" s="14">
        <v>861868</v>
      </c>
      <c r="P3" s="14">
        <v>887119</v>
      </c>
    </row>
    <row r="4" spans="1:16" ht="79.900000000000006" customHeight="1" x14ac:dyDescent="0.25">
      <c r="A4" s="2">
        <v>2</v>
      </c>
      <c r="B4" s="1" t="s">
        <v>119</v>
      </c>
      <c r="C4" s="1" t="s">
        <v>120</v>
      </c>
      <c r="D4" s="1" t="s">
        <v>121</v>
      </c>
      <c r="E4" s="1" t="s">
        <v>122</v>
      </c>
      <c r="F4" s="1" t="s">
        <v>123</v>
      </c>
      <c r="G4" s="1" t="s">
        <v>124</v>
      </c>
      <c r="J4" s="11">
        <v>2</v>
      </c>
      <c r="K4" s="14">
        <v>861604</v>
      </c>
      <c r="L4" s="14">
        <v>885846</v>
      </c>
      <c r="M4" s="14">
        <v>861815</v>
      </c>
      <c r="N4" s="15">
        <v>887109</v>
      </c>
      <c r="O4" s="14">
        <v>861873</v>
      </c>
      <c r="P4" s="14">
        <v>888573</v>
      </c>
    </row>
    <row r="5" spans="1:16" ht="79.900000000000006" customHeight="1" x14ac:dyDescent="0.25">
      <c r="A5" s="2">
        <v>3</v>
      </c>
      <c r="B5" s="1" t="s">
        <v>125</v>
      </c>
      <c r="C5" s="1" t="s">
        <v>126</v>
      </c>
      <c r="D5" s="1" t="s">
        <v>127</v>
      </c>
      <c r="E5" s="1" t="s">
        <v>128</v>
      </c>
      <c r="F5" s="1" t="s">
        <v>129</v>
      </c>
      <c r="G5" s="1" t="s">
        <v>130</v>
      </c>
      <c r="J5" s="11">
        <v>3</v>
      </c>
      <c r="K5" s="14">
        <v>861606</v>
      </c>
      <c r="L5" s="15">
        <v>887098</v>
      </c>
      <c r="M5" s="14">
        <v>861817</v>
      </c>
      <c r="N5" s="14">
        <v>887110</v>
      </c>
      <c r="O5" s="14">
        <v>861874</v>
      </c>
      <c r="P5" s="14">
        <v>888574</v>
      </c>
    </row>
    <row r="6" spans="1:16" ht="79.900000000000006" customHeight="1" x14ac:dyDescent="0.25">
      <c r="A6" s="2">
        <v>4</v>
      </c>
      <c r="B6" s="1" t="s">
        <v>131</v>
      </c>
      <c r="C6" s="1" t="s">
        <v>132</v>
      </c>
      <c r="D6" s="1" t="s">
        <v>133</v>
      </c>
      <c r="E6" s="1" t="s">
        <v>134</v>
      </c>
      <c r="F6" s="1" t="s">
        <v>135</v>
      </c>
      <c r="G6" s="1" t="s">
        <v>136</v>
      </c>
      <c r="J6" s="11">
        <v>4</v>
      </c>
      <c r="K6" s="14">
        <v>861608</v>
      </c>
      <c r="L6" s="15">
        <v>887099</v>
      </c>
      <c r="M6" s="14">
        <v>861818</v>
      </c>
      <c r="N6" s="14">
        <v>887112</v>
      </c>
      <c r="O6" s="14">
        <v>861875</v>
      </c>
      <c r="P6" s="14">
        <v>888577</v>
      </c>
    </row>
    <row r="7" spans="1:16" ht="79.900000000000006" customHeight="1" x14ac:dyDescent="0.25">
      <c r="A7" s="2">
        <v>5</v>
      </c>
      <c r="B7" s="1" t="s">
        <v>137</v>
      </c>
      <c r="C7" s="1" t="s">
        <v>138</v>
      </c>
      <c r="D7" s="1" t="s">
        <v>139</v>
      </c>
      <c r="E7" s="1" t="s">
        <v>140</v>
      </c>
      <c r="F7" s="1" t="s">
        <v>141</v>
      </c>
      <c r="G7" s="1" t="s">
        <v>142</v>
      </c>
      <c r="J7" s="11">
        <v>5</v>
      </c>
      <c r="K7" s="14">
        <v>861611</v>
      </c>
      <c r="L7" s="14">
        <v>887100</v>
      </c>
      <c r="M7" s="14">
        <v>861821</v>
      </c>
      <c r="N7" s="14">
        <v>887114</v>
      </c>
      <c r="O7" s="14">
        <v>861898</v>
      </c>
      <c r="P7" s="14">
        <v>888583</v>
      </c>
    </row>
    <row r="8" spans="1:16" ht="79.900000000000006" customHeight="1" x14ac:dyDescent="0.25">
      <c r="A8" s="2">
        <v>6</v>
      </c>
      <c r="B8" s="1" t="s">
        <v>143</v>
      </c>
      <c r="C8" s="1" t="s">
        <v>144</v>
      </c>
      <c r="D8" s="1" t="s">
        <v>145</v>
      </c>
      <c r="E8" s="1" t="s">
        <v>146</v>
      </c>
      <c r="F8" s="1" t="s">
        <v>147</v>
      </c>
      <c r="G8" s="1" t="s">
        <v>148</v>
      </c>
      <c r="J8" s="11">
        <v>6</v>
      </c>
      <c r="K8" s="14">
        <v>861614</v>
      </c>
      <c r="L8" s="14">
        <v>887101</v>
      </c>
      <c r="M8" s="14">
        <v>861839</v>
      </c>
      <c r="N8" s="14">
        <v>887115</v>
      </c>
      <c r="O8" s="14">
        <v>861899</v>
      </c>
      <c r="P8" s="14">
        <v>888584</v>
      </c>
    </row>
    <row r="9" spans="1:16" ht="79.900000000000006" customHeight="1" x14ac:dyDescent="0.25">
      <c r="A9" s="2">
        <v>7</v>
      </c>
      <c r="B9" s="1" t="s">
        <v>149</v>
      </c>
      <c r="C9" s="1" t="s">
        <v>150</v>
      </c>
      <c r="D9" s="1" t="s">
        <v>151</v>
      </c>
      <c r="E9" s="1" t="s">
        <v>152</v>
      </c>
      <c r="F9" s="1" t="s">
        <v>153</v>
      </c>
      <c r="G9" s="1" t="s">
        <v>154</v>
      </c>
      <c r="J9" s="11">
        <v>7</v>
      </c>
      <c r="K9" s="14">
        <v>861618</v>
      </c>
      <c r="L9" s="14">
        <v>887102</v>
      </c>
      <c r="M9" s="14">
        <v>861841</v>
      </c>
      <c r="N9" s="14">
        <v>887116</v>
      </c>
      <c r="O9" s="14">
        <v>861906</v>
      </c>
      <c r="P9" s="14">
        <v>888585</v>
      </c>
    </row>
    <row r="10" spans="1:16" ht="79.900000000000006" customHeight="1" x14ac:dyDescent="0.25">
      <c r="A10" s="2">
        <v>8</v>
      </c>
      <c r="B10" s="1" t="s">
        <v>155</v>
      </c>
      <c r="C10" s="1" t="s">
        <v>156</v>
      </c>
      <c r="D10" s="1" t="s">
        <v>157</v>
      </c>
      <c r="E10" s="1" t="s">
        <v>158</v>
      </c>
      <c r="F10" s="1" t="s">
        <v>159</v>
      </c>
      <c r="G10" s="1" t="s">
        <v>160</v>
      </c>
      <c r="J10" s="11">
        <v>8</v>
      </c>
      <c r="K10" s="14">
        <v>861619</v>
      </c>
      <c r="L10" s="15">
        <v>887106</v>
      </c>
      <c r="M10" s="14">
        <v>861861</v>
      </c>
      <c r="N10" s="14">
        <v>887118</v>
      </c>
      <c r="O10" s="14">
        <v>861927</v>
      </c>
      <c r="P10" s="14">
        <v>888587</v>
      </c>
    </row>
    <row r="11" spans="1:16" ht="15.75" x14ac:dyDescent="0.25">
      <c r="J11" s="11" t="s">
        <v>7</v>
      </c>
      <c r="K11" s="36">
        <f>COUNTA(K3:M10)</f>
        <v>23</v>
      </c>
      <c r="L11" s="36"/>
      <c r="M11" s="36"/>
      <c r="N11" s="36">
        <f>COUNTA(N3:P10)</f>
        <v>24</v>
      </c>
      <c r="O11" s="36"/>
      <c r="P11" s="36"/>
    </row>
    <row r="12" spans="1:16" ht="14.45" customHeight="1" x14ac:dyDescent="0.25">
      <c r="J12" s="11" t="s">
        <v>8</v>
      </c>
      <c r="K12" s="33">
        <f>K11+N11</f>
        <v>47</v>
      </c>
      <c r="L12" s="33"/>
      <c r="M12" s="33"/>
      <c r="N12" s="33"/>
      <c r="O12" s="33"/>
      <c r="P12" s="33"/>
    </row>
    <row r="13" spans="1:16" ht="22.15" customHeight="1" x14ac:dyDescent="0.25">
      <c r="J13" s="5" t="s">
        <v>9</v>
      </c>
      <c r="K13" s="33">
        <v>214</v>
      </c>
      <c r="L13" s="33"/>
      <c r="M13" s="33"/>
      <c r="N13" s="33"/>
      <c r="O13" s="33"/>
      <c r="P13" s="33"/>
    </row>
    <row r="14" spans="1:16" ht="25.15" customHeight="1" x14ac:dyDescent="0.25"/>
    <row r="15" spans="1:16" ht="25.15" customHeight="1" x14ac:dyDescent="0.25"/>
  </sheetData>
  <mergeCells count="7">
    <mergeCell ref="K13:P13"/>
    <mergeCell ref="A1:B1"/>
    <mergeCell ref="F1:G1"/>
    <mergeCell ref="K11:M11"/>
    <mergeCell ref="N11:P11"/>
    <mergeCell ref="K12:P12"/>
    <mergeCell ref="D1:E1"/>
  </mergeCells>
  <conditionalFormatting sqref="K4:K10">
    <cfRule type="duplicateValues" dxfId="172" priority="53"/>
    <cfRule type="duplicateValues" dxfId="171" priority="52"/>
    <cfRule type="duplicateValues" dxfId="170" priority="51"/>
    <cfRule type="duplicateValues" dxfId="169" priority="50"/>
    <cfRule type="duplicateValues" dxfId="168" priority="49"/>
    <cfRule type="duplicateValues" dxfId="167" priority="54"/>
    <cfRule type="duplicateValues" dxfId="166" priority="48"/>
  </conditionalFormatting>
  <conditionalFormatting sqref="L3:L10">
    <cfRule type="duplicateValues" dxfId="165" priority="30"/>
    <cfRule type="duplicateValues" dxfId="164" priority="29"/>
    <cfRule type="duplicateValues" dxfId="163" priority="24"/>
    <cfRule type="duplicateValues" dxfId="162" priority="25"/>
    <cfRule type="duplicateValues" dxfId="161" priority="26"/>
    <cfRule type="duplicateValues" dxfId="160" priority="28"/>
    <cfRule type="duplicateValues" dxfId="159" priority="27"/>
  </conditionalFormatting>
  <conditionalFormatting sqref="M3:M10">
    <cfRule type="duplicateValues" dxfId="158" priority="42"/>
    <cfRule type="duplicateValues" dxfId="157" priority="47"/>
    <cfRule type="duplicateValues" dxfId="156" priority="46"/>
    <cfRule type="duplicateValues" dxfId="155" priority="45"/>
    <cfRule type="duplicateValues" dxfId="154" priority="44"/>
    <cfRule type="duplicateValues" dxfId="153" priority="43"/>
    <cfRule type="duplicateValues" dxfId="152" priority="41"/>
  </conditionalFormatting>
  <conditionalFormatting sqref="N3:N9">
    <cfRule type="duplicateValues" dxfId="151" priority="17"/>
    <cfRule type="duplicateValues" dxfId="150" priority="18"/>
  </conditionalFormatting>
  <conditionalFormatting sqref="N3:N10">
    <cfRule type="duplicateValues" dxfId="149" priority="19"/>
    <cfRule type="duplicateValues" dxfId="148" priority="20"/>
    <cfRule type="duplicateValues" dxfId="147" priority="21"/>
    <cfRule type="duplicateValues" dxfId="146" priority="23"/>
    <cfRule type="duplicateValues" dxfId="145" priority="22"/>
  </conditionalFormatting>
  <conditionalFormatting sqref="N10">
    <cfRule type="duplicateValues" dxfId="144" priority="16"/>
    <cfRule type="duplicateValues" dxfId="143" priority="15"/>
    <cfRule type="duplicateValues" dxfId="142" priority="14"/>
  </conditionalFormatting>
  <conditionalFormatting sqref="O3:O6">
    <cfRule type="duplicateValues" dxfId="141" priority="34"/>
    <cfRule type="duplicateValues" dxfId="140" priority="35"/>
  </conditionalFormatting>
  <conditionalFormatting sqref="O3:O10">
    <cfRule type="duplicateValues" dxfId="139" priority="36"/>
    <cfRule type="duplicateValues" dxfId="138" priority="37"/>
    <cfRule type="duplicateValues" dxfId="137" priority="38"/>
    <cfRule type="duplicateValues" dxfId="136" priority="39"/>
    <cfRule type="duplicateValues" dxfId="135" priority="40"/>
  </conditionalFormatting>
  <conditionalFormatting sqref="O4:O9">
    <cfRule type="duplicateValues" dxfId="134" priority="31"/>
  </conditionalFormatting>
  <conditionalFormatting sqref="O10">
    <cfRule type="duplicateValues" dxfId="133" priority="32"/>
    <cfRule type="duplicateValues" dxfId="132" priority="33"/>
  </conditionalFormatting>
  <conditionalFormatting sqref="P3:P5">
    <cfRule type="duplicateValues" dxfId="131" priority="6"/>
    <cfRule type="duplicateValues" dxfId="130" priority="5"/>
    <cfRule type="duplicateValues" dxfId="129" priority="4"/>
  </conditionalFormatting>
  <conditionalFormatting sqref="P3:P10">
    <cfRule type="duplicateValues" dxfId="128" priority="12"/>
    <cfRule type="duplicateValues" dxfId="127" priority="11"/>
    <cfRule type="duplicateValues" dxfId="126" priority="10"/>
    <cfRule type="duplicateValues" dxfId="125" priority="9"/>
    <cfRule type="duplicateValues" dxfId="124" priority="13"/>
  </conditionalFormatting>
  <conditionalFormatting sqref="P6:P8">
    <cfRule type="duplicateValues" dxfId="123" priority="1"/>
    <cfRule type="duplicateValues" dxfId="122" priority="3"/>
    <cfRule type="duplicateValues" dxfId="121" priority="2"/>
  </conditionalFormatting>
  <conditionalFormatting sqref="P9:P10">
    <cfRule type="duplicateValues" dxfId="120" priority="7"/>
    <cfRule type="duplicateValues" dxfId="119" priority="8"/>
  </conditionalFormatting>
  <pageMargins left="0.25" right="0.25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EBE63-A4AF-4521-A804-052989847367}">
  <dimension ref="A1:P15"/>
  <sheetViews>
    <sheetView zoomScale="55" zoomScaleNormal="55" workbookViewId="0">
      <selection activeCell="B3" sqref="B3:G10"/>
    </sheetView>
  </sheetViews>
  <sheetFormatPr defaultRowHeight="15" x14ac:dyDescent="0.25"/>
  <cols>
    <col min="1" max="1" width="2.7109375" bestFit="1" customWidth="1"/>
    <col min="2" max="7" width="14.7109375" customWidth="1"/>
    <col min="10" max="15" width="8.85546875" style="2"/>
  </cols>
  <sheetData>
    <row r="1" spans="1:16" ht="32.450000000000003" customHeight="1" x14ac:dyDescent="0.25">
      <c r="A1" s="34" t="s">
        <v>1</v>
      </c>
      <c r="B1" s="35"/>
      <c r="C1" s="4">
        <f>K13</f>
        <v>215</v>
      </c>
      <c r="D1" s="34" t="s">
        <v>3</v>
      </c>
      <c r="E1" s="35"/>
      <c r="F1" s="34">
        <f>K12</f>
        <v>43</v>
      </c>
      <c r="G1" s="35"/>
    </row>
    <row r="2" spans="1:16" ht="15.75" x14ac:dyDescent="0.25">
      <c r="A2" s="2" t="s">
        <v>0</v>
      </c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J2" s="26" t="s">
        <v>4</v>
      </c>
      <c r="K2" s="27" t="s">
        <v>5</v>
      </c>
      <c r="L2" s="13" t="s">
        <v>6</v>
      </c>
      <c r="M2" s="27" t="s">
        <v>5</v>
      </c>
      <c r="N2" s="13" t="s">
        <v>10</v>
      </c>
      <c r="O2" s="27" t="s">
        <v>5</v>
      </c>
      <c r="P2" s="13" t="s">
        <v>10</v>
      </c>
    </row>
    <row r="3" spans="1:16" ht="79.900000000000006" customHeight="1" x14ac:dyDescent="0.25">
      <c r="A3" s="2">
        <v>1</v>
      </c>
      <c r="B3" s="6" t="s">
        <v>2</v>
      </c>
      <c r="C3" s="1" t="s">
        <v>161</v>
      </c>
      <c r="D3" s="1" t="s">
        <v>162</v>
      </c>
      <c r="E3" s="1" t="s">
        <v>163</v>
      </c>
      <c r="F3" s="1" t="s">
        <v>164</v>
      </c>
      <c r="G3" s="1" t="s">
        <v>165</v>
      </c>
      <c r="J3" s="26">
        <v>1</v>
      </c>
      <c r="K3" s="7"/>
      <c r="L3" s="14">
        <v>888588</v>
      </c>
      <c r="M3" s="14">
        <v>861979</v>
      </c>
      <c r="N3" s="14">
        <v>88856</v>
      </c>
      <c r="O3" s="14">
        <v>862006</v>
      </c>
      <c r="P3" s="14">
        <v>861633</v>
      </c>
    </row>
    <row r="4" spans="1:16" ht="79.900000000000006" customHeight="1" x14ac:dyDescent="0.25">
      <c r="A4" s="2">
        <v>2</v>
      </c>
      <c r="B4" s="1" t="s">
        <v>166</v>
      </c>
      <c r="C4" s="1" t="s">
        <v>167</v>
      </c>
      <c r="D4" s="1" t="s">
        <v>168</v>
      </c>
      <c r="E4" s="1" t="s">
        <v>169</v>
      </c>
      <c r="F4" s="1" t="s">
        <v>170</v>
      </c>
      <c r="G4" s="1" t="s">
        <v>171</v>
      </c>
      <c r="J4" s="26">
        <v>2</v>
      </c>
      <c r="K4" s="14">
        <v>861931</v>
      </c>
      <c r="L4" s="20" t="s">
        <v>11</v>
      </c>
      <c r="M4" s="14">
        <v>861981</v>
      </c>
      <c r="N4" s="14">
        <v>841829</v>
      </c>
      <c r="O4" s="14">
        <v>862009</v>
      </c>
      <c r="P4" s="14">
        <v>861638</v>
      </c>
    </row>
    <row r="5" spans="1:16" ht="79.900000000000006" customHeight="1" x14ac:dyDescent="0.25">
      <c r="A5" s="2">
        <v>3</v>
      </c>
      <c r="B5" s="1" t="s">
        <v>172</v>
      </c>
      <c r="C5" s="1" t="s">
        <v>173</v>
      </c>
      <c r="D5" s="1" t="s">
        <v>174</v>
      </c>
      <c r="E5" s="1" t="s">
        <v>175</v>
      </c>
      <c r="F5" s="1" t="s">
        <v>176</v>
      </c>
      <c r="G5" s="1" t="s">
        <v>177</v>
      </c>
      <c r="J5" s="26">
        <v>3</v>
      </c>
      <c r="K5" s="14">
        <v>861954</v>
      </c>
      <c r="L5" s="28">
        <v>766301</v>
      </c>
      <c r="M5" s="14">
        <v>861983</v>
      </c>
      <c r="N5" s="21">
        <v>842023</v>
      </c>
      <c r="O5" s="14">
        <v>875028</v>
      </c>
      <c r="P5" s="14">
        <v>861640</v>
      </c>
    </row>
    <row r="6" spans="1:16" ht="79.900000000000006" customHeight="1" x14ac:dyDescent="0.25">
      <c r="A6" s="2">
        <v>4</v>
      </c>
      <c r="B6" s="1" t="s">
        <v>178</v>
      </c>
      <c r="C6" s="1" t="s">
        <v>179</v>
      </c>
      <c r="D6" s="1" t="s">
        <v>180</v>
      </c>
      <c r="E6" s="1" t="s">
        <v>181</v>
      </c>
      <c r="F6" s="1" t="s">
        <v>182</v>
      </c>
      <c r="G6" s="1" t="s">
        <v>183</v>
      </c>
      <c r="J6" s="26">
        <v>4</v>
      </c>
      <c r="K6" s="14">
        <v>861956</v>
      </c>
      <c r="L6" s="29">
        <v>862192</v>
      </c>
      <c r="M6" s="14">
        <v>861986</v>
      </c>
      <c r="N6" s="14">
        <v>861622</v>
      </c>
      <c r="O6" s="14">
        <v>887054</v>
      </c>
      <c r="P6" s="14">
        <v>861641</v>
      </c>
    </row>
    <row r="7" spans="1:16" ht="79.900000000000006" customHeight="1" x14ac:dyDescent="0.25">
      <c r="A7" s="2">
        <v>5</v>
      </c>
      <c r="B7" s="1" t="s">
        <v>184</v>
      </c>
      <c r="C7" s="1" t="s">
        <v>185</v>
      </c>
      <c r="D7" s="1" t="s">
        <v>186</v>
      </c>
      <c r="E7" s="1" t="s">
        <v>187</v>
      </c>
      <c r="F7" s="1" t="s">
        <v>188</v>
      </c>
      <c r="G7" s="1" t="s">
        <v>189</v>
      </c>
      <c r="J7" s="26">
        <v>5</v>
      </c>
      <c r="K7" s="14">
        <v>861958</v>
      </c>
      <c r="L7" s="30"/>
      <c r="M7" s="14">
        <v>861990</v>
      </c>
      <c r="N7" s="14">
        <v>861623</v>
      </c>
      <c r="O7" s="14">
        <v>887067</v>
      </c>
      <c r="P7" s="14">
        <v>861642</v>
      </c>
    </row>
    <row r="8" spans="1:16" ht="79.900000000000006" customHeight="1" x14ac:dyDescent="0.25">
      <c r="A8" s="2">
        <v>6</v>
      </c>
      <c r="B8" s="1" t="s">
        <v>190</v>
      </c>
      <c r="C8" s="1" t="s">
        <v>185</v>
      </c>
      <c r="D8" s="1" t="s">
        <v>191</v>
      </c>
      <c r="E8" s="1" t="s">
        <v>192</v>
      </c>
      <c r="F8" s="1" t="s">
        <v>193</v>
      </c>
      <c r="G8" s="1" t="s">
        <v>194</v>
      </c>
      <c r="J8" s="26">
        <v>6</v>
      </c>
      <c r="K8" s="14">
        <v>861962</v>
      </c>
      <c r="L8" s="31"/>
      <c r="M8" s="14">
        <v>861994</v>
      </c>
      <c r="N8" s="14">
        <v>861625</v>
      </c>
      <c r="O8" s="14">
        <v>887068</v>
      </c>
      <c r="P8" s="14">
        <v>861643</v>
      </c>
    </row>
    <row r="9" spans="1:16" ht="79.900000000000006" customHeight="1" x14ac:dyDescent="0.25">
      <c r="A9" s="2">
        <v>7</v>
      </c>
      <c r="B9" s="1" t="s">
        <v>195</v>
      </c>
      <c r="C9" s="1" t="s">
        <v>185</v>
      </c>
      <c r="D9" s="1" t="s">
        <v>196</v>
      </c>
      <c r="E9" s="1" t="s">
        <v>197</v>
      </c>
      <c r="F9" s="1" t="s">
        <v>198</v>
      </c>
      <c r="G9" s="1" t="s">
        <v>199</v>
      </c>
      <c r="J9" s="26">
        <v>7</v>
      </c>
      <c r="K9" s="14">
        <v>861967</v>
      </c>
      <c r="L9" s="30"/>
      <c r="M9" s="14">
        <v>861997</v>
      </c>
      <c r="N9" s="14">
        <v>861629</v>
      </c>
      <c r="O9" s="14">
        <v>888554</v>
      </c>
      <c r="P9" s="14">
        <v>861644</v>
      </c>
    </row>
    <row r="10" spans="1:16" ht="79.900000000000006" customHeight="1" x14ac:dyDescent="0.25">
      <c r="A10" s="2">
        <v>8</v>
      </c>
      <c r="B10" s="1" t="s">
        <v>200</v>
      </c>
      <c r="C10" s="1" t="s">
        <v>185</v>
      </c>
      <c r="D10" s="1" t="s">
        <v>201</v>
      </c>
      <c r="E10" s="1" t="s">
        <v>202</v>
      </c>
      <c r="F10" s="1" t="s">
        <v>203</v>
      </c>
      <c r="G10" s="1" t="s">
        <v>204</v>
      </c>
      <c r="J10" s="26">
        <v>8</v>
      </c>
      <c r="K10" s="14">
        <v>861969</v>
      </c>
      <c r="L10" s="31"/>
      <c r="M10" s="14">
        <v>861999</v>
      </c>
      <c r="N10" s="14">
        <v>861630</v>
      </c>
      <c r="O10" s="24" t="s">
        <v>14</v>
      </c>
      <c r="P10" s="14">
        <v>861646</v>
      </c>
    </row>
    <row r="11" spans="1:16" ht="15.75" x14ac:dyDescent="0.25">
      <c r="J11" s="26" t="s">
        <v>7</v>
      </c>
      <c r="K11" s="36">
        <f>COUNTA(K3:M10)</f>
        <v>19</v>
      </c>
      <c r="L11" s="36"/>
      <c r="M11" s="36"/>
      <c r="N11" s="36">
        <f>COUNTA(N3:P10)</f>
        <v>24</v>
      </c>
      <c r="O11" s="36"/>
      <c r="P11" s="36"/>
    </row>
    <row r="12" spans="1:16" ht="14.45" customHeight="1" x14ac:dyDescent="0.25">
      <c r="J12" s="26" t="s">
        <v>8</v>
      </c>
      <c r="K12" s="33">
        <f>K11+N11</f>
        <v>43</v>
      </c>
      <c r="L12" s="33"/>
      <c r="M12" s="33"/>
      <c r="N12" s="33"/>
      <c r="O12" s="33"/>
      <c r="P12" s="33"/>
    </row>
    <row r="13" spans="1:16" ht="22.15" customHeight="1" x14ac:dyDescent="0.25">
      <c r="J13" s="5" t="s">
        <v>9</v>
      </c>
      <c r="K13" s="33">
        <v>215</v>
      </c>
      <c r="L13" s="33"/>
      <c r="M13" s="33"/>
      <c r="N13" s="33"/>
      <c r="O13" s="33"/>
      <c r="P13" s="33"/>
    </row>
    <row r="14" spans="1:16" ht="25.15" customHeight="1" x14ac:dyDescent="0.25"/>
    <row r="15" spans="1:16" ht="25.15" customHeight="1" x14ac:dyDescent="0.25"/>
  </sheetData>
  <mergeCells count="7">
    <mergeCell ref="K13:P13"/>
    <mergeCell ref="A1:B1"/>
    <mergeCell ref="F1:G1"/>
    <mergeCell ref="K11:M11"/>
    <mergeCell ref="N11:P11"/>
    <mergeCell ref="K12:P12"/>
    <mergeCell ref="D1:E1"/>
  </mergeCells>
  <conditionalFormatting sqref="K4:K10">
    <cfRule type="duplicateValues" dxfId="118" priority="59"/>
    <cfRule type="duplicateValues" dxfId="117" priority="58"/>
    <cfRule type="duplicateValues" dxfId="116" priority="57"/>
    <cfRule type="duplicateValues" dxfId="115" priority="56"/>
    <cfRule type="duplicateValues" dxfId="114" priority="55"/>
    <cfRule type="duplicateValues" dxfId="113" priority="54"/>
    <cfRule type="duplicateValues" dxfId="112" priority="60"/>
  </conditionalFormatting>
  <conditionalFormatting sqref="L3">
    <cfRule type="duplicateValues" dxfId="111" priority="36"/>
    <cfRule type="duplicateValues" dxfId="110" priority="35"/>
    <cfRule type="duplicateValues" dxfId="109" priority="34"/>
    <cfRule type="duplicateValues" dxfId="108" priority="33"/>
    <cfRule type="duplicateValues" dxfId="107" priority="32"/>
    <cfRule type="duplicateValues" dxfId="106" priority="31"/>
    <cfRule type="duplicateValues" dxfId="105" priority="30"/>
  </conditionalFormatting>
  <conditionalFormatting sqref="L4">
    <cfRule type="duplicateValues" dxfId="104" priority="24"/>
    <cfRule type="duplicateValues" dxfId="103" priority="23"/>
    <cfRule type="duplicateValues" dxfId="102" priority="25"/>
    <cfRule type="duplicateValues" dxfId="101" priority="26"/>
    <cfRule type="duplicateValues" dxfId="100" priority="27"/>
    <cfRule type="duplicateValues" dxfId="99" priority="28"/>
    <cfRule type="duplicateValues" dxfId="98" priority="29"/>
  </conditionalFormatting>
  <conditionalFormatting sqref="L6:L7">
    <cfRule type="duplicateValues" dxfId="97" priority="16"/>
    <cfRule type="duplicateValues" dxfId="96" priority="17"/>
    <cfRule type="duplicateValues" dxfId="95" priority="18"/>
    <cfRule type="duplicateValues" dxfId="94" priority="19"/>
    <cfRule type="duplicateValues" dxfId="93" priority="20"/>
    <cfRule type="duplicateValues" dxfId="92" priority="21"/>
    <cfRule type="duplicateValues" dxfId="91" priority="22"/>
  </conditionalFormatting>
  <conditionalFormatting sqref="M3:M6">
    <cfRule type="duplicateValues" dxfId="90" priority="48"/>
    <cfRule type="duplicateValues" dxfId="89" priority="47"/>
  </conditionalFormatting>
  <conditionalFormatting sqref="M3:M10">
    <cfRule type="duplicateValues" dxfId="88" priority="53"/>
    <cfRule type="duplicateValues" dxfId="87" priority="49"/>
    <cfRule type="duplicateValues" dxfId="86" priority="50"/>
    <cfRule type="duplicateValues" dxfId="85" priority="51"/>
    <cfRule type="duplicateValues" dxfId="84" priority="52"/>
  </conditionalFormatting>
  <conditionalFormatting sqref="M7">
    <cfRule type="duplicateValues" dxfId="83" priority="44"/>
  </conditionalFormatting>
  <conditionalFormatting sqref="M9:M10">
    <cfRule type="duplicateValues" dxfId="82" priority="45"/>
    <cfRule type="duplicateValues" dxfId="81" priority="46"/>
  </conditionalFormatting>
  <conditionalFormatting sqref="N3:N4">
    <cfRule type="duplicateValues" dxfId="80" priority="8"/>
  </conditionalFormatting>
  <conditionalFormatting sqref="N3:N10">
    <cfRule type="duplicateValues" dxfId="79" priority="11"/>
    <cfRule type="duplicateValues" dxfId="78" priority="14"/>
    <cfRule type="duplicateValues" dxfId="77" priority="13"/>
    <cfRule type="duplicateValues" dxfId="76" priority="12"/>
    <cfRule type="duplicateValues" dxfId="75" priority="15"/>
  </conditionalFormatting>
  <conditionalFormatting sqref="N5:N10">
    <cfRule type="duplicateValues" dxfId="74" priority="10"/>
    <cfRule type="duplicateValues" dxfId="73" priority="9"/>
  </conditionalFormatting>
  <conditionalFormatting sqref="O3:O10">
    <cfRule type="duplicateValues" dxfId="72" priority="37"/>
    <cfRule type="duplicateValues" dxfId="71" priority="38"/>
    <cfRule type="duplicateValues" dxfId="70" priority="39"/>
    <cfRule type="duplicateValues" dxfId="69" priority="40"/>
    <cfRule type="duplicateValues" dxfId="68" priority="41"/>
    <cfRule type="duplicateValues" dxfId="67" priority="42"/>
    <cfRule type="duplicateValues" dxfId="66" priority="43"/>
  </conditionalFormatting>
  <conditionalFormatting sqref="P3:P10">
    <cfRule type="duplicateValues" dxfId="65" priority="7"/>
    <cfRule type="duplicateValues" dxfId="64" priority="1"/>
    <cfRule type="duplicateValues" dxfId="63" priority="6"/>
    <cfRule type="duplicateValues" dxfId="62" priority="5"/>
    <cfRule type="duplicateValues" dxfId="61" priority="4"/>
    <cfRule type="duplicateValues" dxfId="60" priority="3"/>
    <cfRule type="duplicateValues" dxfId="59" priority="2"/>
  </conditionalFormatting>
  <pageMargins left="0.25" right="0.25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1A38E-F9DF-4E5E-B0B6-47311B372568}">
  <dimension ref="A1:P13"/>
  <sheetViews>
    <sheetView zoomScale="55" zoomScaleNormal="55" workbookViewId="0">
      <selection activeCell="B3" sqref="B3:G9"/>
    </sheetView>
  </sheetViews>
  <sheetFormatPr defaultRowHeight="15" x14ac:dyDescent="0.25"/>
  <cols>
    <col min="1" max="1" width="2.7109375" bestFit="1" customWidth="1"/>
    <col min="2" max="7" width="14.7109375" customWidth="1"/>
    <col min="10" max="15" width="8.85546875" style="2"/>
  </cols>
  <sheetData>
    <row r="1" spans="1:16" ht="27" customHeight="1" x14ac:dyDescent="0.25">
      <c r="A1" s="34" t="s">
        <v>1</v>
      </c>
      <c r="B1" s="35"/>
      <c r="C1" s="4">
        <f>K12</f>
        <v>112</v>
      </c>
      <c r="D1" s="34" t="s">
        <v>3</v>
      </c>
      <c r="E1" s="35"/>
      <c r="F1" s="34">
        <f>K11</f>
        <v>41</v>
      </c>
      <c r="G1" s="35"/>
    </row>
    <row r="2" spans="1:16" ht="15.75" x14ac:dyDescent="0.25">
      <c r="A2" s="2" t="s">
        <v>0</v>
      </c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J2" s="11" t="s">
        <v>4</v>
      </c>
      <c r="K2" s="12" t="s">
        <v>10</v>
      </c>
      <c r="L2" s="13" t="s">
        <v>15</v>
      </c>
      <c r="M2" s="12" t="s">
        <v>10</v>
      </c>
      <c r="N2" s="13" t="s">
        <v>15</v>
      </c>
      <c r="O2" s="12" t="s">
        <v>10</v>
      </c>
      <c r="P2" s="13" t="s">
        <v>15</v>
      </c>
    </row>
    <row r="3" spans="1:16" ht="85.15" customHeight="1" x14ac:dyDescent="0.25">
      <c r="A3" s="2">
        <v>1</v>
      </c>
      <c r="B3" s="6" t="s">
        <v>2</v>
      </c>
      <c r="C3" s="1" t="s">
        <v>205</v>
      </c>
      <c r="D3" s="1" t="s">
        <v>206</v>
      </c>
      <c r="E3" s="1" t="s">
        <v>207</v>
      </c>
      <c r="F3" s="1" t="s">
        <v>208</v>
      </c>
      <c r="G3" s="1" t="s">
        <v>209</v>
      </c>
      <c r="J3" s="11">
        <v>1</v>
      </c>
      <c r="K3" s="7"/>
      <c r="L3" s="14">
        <v>861668</v>
      </c>
      <c r="M3" s="14">
        <v>862015</v>
      </c>
      <c r="N3" s="14">
        <v>861694</v>
      </c>
      <c r="O3" s="14">
        <v>862026</v>
      </c>
      <c r="P3" s="14">
        <v>862079</v>
      </c>
    </row>
    <row r="4" spans="1:16" ht="85.15" customHeight="1" x14ac:dyDescent="0.25">
      <c r="A4" s="2">
        <v>2</v>
      </c>
      <c r="B4" s="1" t="s">
        <v>210</v>
      </c>
      <c r="C4" s="1" t="s">
        <v>211</v>
      </c>
      <c r="D4" s="1" t="s">
        <v>212</v>
      </c>
      <c r="E4" s="1" t="s">
        <v>213</v>
      </c>
      <c r="F4" s="1" t="s">
        <v>214</v>
      </c>
      <c r="G4" s="1" t="s">
        <v>215</v>
      </c>
      <c r="J4" s="11">
        <v>2</v>
      </c>
      <c r="K4" s="14">
        <v>861655</v>
      </c>
      <c r="L4" s="14">
        <v>861670</v>
      </c>
      <c r="M4" s="14">
        <v>862016</v>
      </c>
      <c r="N4" s="14">
        <v>861702</v>
      </c>
      <c r="O4" s="14">
        <v>862027</v>
      </c>
      <c r="P4" s="14">
        <v>862081</v>
      </c>
    </row>
    <row r="5" spans="1:16" ht="85.15" customHeight="1" x14ac:dyDescent="0.25">
      <c r="A5" s="2">
        <v>3</v>
      </c>
      <c r="B5" s="1" t="s">
        <v>216</v>
      </c>
      <c r="C5" s="1" t="s">
        <v>217</v>
      </c>
      <c r="D5" s="1" t="s">
        <v>218</v>
      </c>
      <c r="E5" s="1" t="s">
        <v>219</v>
      </c>
      <c r="F5" s="1" t="s">
        <v>220</v>
      </c>
      <c r="G5" s="1" t="s">
        <v>221</v>
      </c>
      <c r="J5" s="11">
        <v>3</v>
      </c>
      <c r="K5" s="14">
        <v>861657</v>
      </c>
      <c r="L5" s="14">
        <v>861672</v>
      </c>
      <c r="M5" s="14">
        <v>862017</v>
      </c>
      <c r="N5" s="14">
        <v>861705</v>
      </c>
      <c r="O5" s="14">
        <v>862031</v>
      </c>
      <c r="P5" s="14">
        <v>862086</v>
      </c>
    </row>
    <row r="6" spans="1:16" ht="85.15" customHeight="1" x14ac:dyDescent="0.25">
      <c r="A6" s="2">
        <v>4</v>
      </c>
      <c r="B6" s="1" t="s">
        <v>222</v>
      </c>
      <c r="C6" s="1" t="s">
        <v>223</v>
      </c>
      <c r="D6" s="1" t="s">
        <v>224</v>
      </c>
      <c r="E6" s="1" t="s">
        <v>225</v>
      </c>
      <c r="F6" s="1" t="s">
        <v>226</v>
      </c>
      <c r="G6" s="1" t="s">
        <v>227</v>
      </c>
      <c r="J6" s="11">
        <v>4</v>
      </c>
      <c r="K6" s="14">
        <v>861658</v>
      </c>
      <c r="L6" s="14">
        <v>861673</v>
      </c>
      <c r="M6" s="14">
        <v>862018</v>
      </c>
      <c r="N6" s="14">
        <v>861711</v>
      </c>
      <c r="O6" s="14">
        <v>862034</v>
      </c>
      <c r="P6" s="14">
        <v>862089</v>
      </c>
    </row>
    <row r="7" spans="1:16" ht="85.15" customHeight="1" x14ac:dyDescent="0.25">
      <c r="A7" s="2">
        <v>5</v>
      </c>
      <c r="B7" s="1" t="s">
        <v>228</v>
      </c>
      <c r="C7" s="1" t="s">
        <v>229</v>
      </c>
      <c r="D7" s="1" t="s">
        <v>230</v>
      </c>
      <c r="E7" s="1" t="s">
        <v>231</v>
      </c>
      <c r="F7" s="1" t="s">
        <v>232</v>
      </c>
      <c r="G7" s="1" t="s">
        <v>233</v>
      </c>
      <c r="J7" s="11">
        <v>5</v>
      </c>
      <c r="K7" s="14">
        <v>861665</v>
      </c>
      <c r="L7" s="14">
        <v>861674</v>
      </c>
      <c r="M7" s="14">
        <v>862022</v>
      </c>
      <c r="N7" s="14">
        <v>861713</v>
      </c>
      <c r="O7" s="14">
        <v>862038</v>
      </c>
      <c r="P7" s="14">
        <v>862091</v>
      </c>
    </row>
    <row r="8" spans="1:16" ht="85.15" customHeight="1" x14ac:dyDescent="0.25">
      <c r="A8" s="2">
        <v>6</v>
      </c>
      <c r="B8" s="1" t="s">
        <v>234</v>
      </c>
      <c r="C8" s="1" t="s">
        <v>235</v>
      </c>
      <c r="D8" s="1" t="s">
        <v>236</v>
      </c>
      <c r="E8" s="1" t="s">
        <v>237</v>
      </c>
      <c r="F8" s="1" t="s">
        <v>238</v>
      </c>
      <c r="G8" s="1" t="s">
        <v>239</v>
      </c>
      <c r="J8" s="11">
        <v>6</v>
      </c>
      <c r="K8" s="14">
        <v>862012</v>
      </c>
      <c r="L8" s="14">
        <v>861676</v>
      </c>
      <c r="M8" s="14">
        <v>862023</v>
      </c>
      <c r="N8" s="14">
        <v>862075</v>
      </c>
      <c r="O8" s="14">
        <v>862040</v>
      </c>
      <c r="P8" s="14">
        <v>862093</v>
      </c>
    </row>
    <row r="9" spans="1:16" ht="85.15" customHeight="1" x14ac:dyDescent="0.25">
      <c r="A9" s="2">
        <v>7</v>
      </c>
      <c r="B9" s="1" t="s">
        <v>240</v>
      </c>
      <c r="C9" s="1" t="s">
        <v>241</v>
      </c>
      <c r="D9" s="1" t="s">
        <v>242</v>
      </c>
      <c r="E9" s="1" t="s">
        <v>243</v>
      </c>
      <c r="F9" s="1" t="s">
        <v>244</v>
      </c>
      <c r="G9" s="1" t="s">
        <v>245</v>
      </c>
      <c r="J9" s="11">
        <v>7</v>
      </c>
      <c r="K9" s="14">
        <v>862014</v>
      </c>
      <c r="L9" s="14">
        <v>861677</v>
      </c>
      <c r="M9" s="14">
        <v>862025</v>
      </c>
      <c r="N9" s="14">
        <v>862076</v>
      </c>
      <c r="O9" s="14">
        <v>862041</v>
      </c>
      <c r="P9" s="14">
        <v>862099</v>
      </c>
    </row>
    <row r="10" spans="1:16" ht="15.75" x14ac:dyDescent="0.25">
      <c r="J10" s="11" t="s">
        <v>7</v>
      </c>
      <c r="K10" s="37">
        <f>COUNTA(K3:M9)</f>
        <v>20</v>
      </c>
      <c r="L10" s="38"/>
      <c r="M10" s="39"/>
      <c r="N10" s="37">
        <f>COUNTA(N3:P9)</f>
        <v>21</v>
      </c>
      <c r="O10" s="38"/>
      <c r="P10" s="39"/>
    </row>
    <row r="11" spans="1:16" ht="14.45" customHeight="1" x14ac:dyDescent="0.25">
      <c r="J11" s="11" t="s">
        <v>8</v>
      </c>
      <c r="K11" s="33">
        <f>K10+N10</f>
        <v>41</v>
      </c>
      <c r="L11" s="33"/>
      <c r="M11" s="33"/>
      <c r="N11" s="33"/>
      <c r="O11" s="33"/>
      <c r="P11" s="33"/>
    </row>
    <row r="12" spans="1:16" ht="14.45" customHeight="1" x14ac:dyDescent="0.25">
      <c r="J12" s="5" t="s">
        <v>9</v>
      </c>
      <c r="K12" s="33">
        <v>112</v>
      </c>
      <c r="L12" s="33"/>
      <c r="M12" s="33"/>
      <c r="N12" s="33"/>
      <c r="O12" s="33"/>
      <c r="P12" s="33"/>
    </row>
    <row r="13" spans="1:16" ht="15.75" x14ac:dyDescent="0.25">
      <c r="J13" s="11" t="s">
        <v>16</v>
      </c>
      <c r="K13" s="33" t="s">
        <v>17</v>
      </c>
      <c r="L13" s="33"/>
      <c r="M13" s="33"/>
      <c r="N13" s="33"/>
      <c r="O13" s="33"/>
      <c r="P13" s="33"/>
    </row>
  </sheetData>
  <mergeCells count="8">
    <mergeCell ref="K11:P11"/>
    <mergeCell ref="K12:P12"/>
    <mergeCell ref="K13:P13"/>
    <mergeCell ref="A1:B1"/>
    <mergeCell ref="D1:E1"/>
    <mergeCell ref="F1:G1"/>
    <mergeCell ref="K10:M10"/>
    <mergeCell ref="N10:P10"/>
  </mergeCells>
  <conditionalFormatting sqref="K4:K9">
    <cfRule type="duplicateValues" dxfId="58" priority="26"/>
    <cfRule type="duplicateValues" dxfId="57" priority="27"/>
    <cfRule type="duplicateValues" dxfId="56" priority="28"/>
    <cfRule type="duplicateValues" dxfId="55" priority="29"/>
    <cfRule type="duplicateValues" dxfId="54" priority="30"/>
    <cfRule type="duplicateValues" dxfId="53" priority="31"/>
    <cfRule type="duplicateValues" dxfId="52" priority="32"/>
  </conditionalFormatting>
  <conditionalFormatting sqref="L3:L9">
    <cfRule type="duplicateValues" dxfId="51" priority="6"/>
    <cfRule type="duplicateValues" dxfId="50" priority="7"/>
  </conditionalFormatting>
  <conditionalFormatting sqref="M3:M7">
    <cfRule type="duplicateValues" dxfId="49" priority="19"/>
    <cfRule type="duplicateValues" dxfId="48" priority="20"/>
  </conditionalFormatting>
  <conditionalFormatting sqref="M3:M9">
    <cfRule type="duplicateValues" dxfId="47" priority="21"/>
    <cfRule type="duplicateValues" dxfId="46" priority="22"/>
    <cfRule type="duplicateValues" dxfId="45" priority="23"/>
    <cfRule type="duplicateValues" dxfId="44" priority="24"/>
    <cfRule type="duplicateValues" dxfId="43" priority="25"/>
  </conditionalFormatting>
  <conditionalFormatting sqref="M8">
    <cfRule type="duplicateValues" dxfId="42" priority="15"/>
    <cfRule type="duplicateValues" dxfId="41" priority="16"/>
  </conditionalFormatting>
  <conditionalFormatting sqref="M9">
    <cfRule type="duplicateValues" dxfId="40" priority="17"/>
    <cfRule type="duplicateValues" dxfId="39" priority="18"/>
  </conditionalFormatting>
  <conditionalFormatting sqref="N3:N9">
    <cfRule type="duplicateValues" dxfId="38" priority="4"/>
    <cfRule type="duplicateValues" dxfId="37" priority="5"/>
  </conditionalFormatting>
  <conditionalFormatting sqref="O3:O9">
    <cfRule type="duplicateValues" dxfId="36" priority="8"/>
    <cfRule type="duplicateValues" dxfId="35" priority="9"/>
    <cfRule type="duplicateValues" dxfId="34" priority="10"/>
    <cfRule type="duplicateValues" dxfId="33" priority="11"/>
    <cfRule type="duplicateValues" dxfId="32" priority="12"/>
    <cfRule type="duplicateValues" dxfId="31" priority="13"/>
    <cfRule type="duplicateValues" dxfId="30" priority="14"/>
  </conditionalFormatting>
  <conditionalFormatting sqref="P3:P9">
    <cfRule type="duplicateValues" dxfId="29" priority="3"/>
  </conditionalFormatting>
  <conditionalFormatting sqref="P8 P3:P6">
    <cfRule type="duplicateValues" dxfId="28" priority="2"/>
  </conditionalFormatting>
  <conditionalFormatting sqref="P9">
    <cfRule type="duplicateValues" dxfId="27" priority="1"/>
  </conditionalFormatting>
  <pageMargins left="0.45" right="0.45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2B814-423C-47C2-94D5-F3234301FB72}">
  <dimension ref="A1:P13"/>
  <sheetViews>
    <sheetView topLeftCell="A3" zoomScale="55" zoomScaleNormal="55" workbookViewId="0">
      <selection activeCell="B3" sqref="B3:G9"/>
    </sheetView>
  </sheetViews>
  <sheetFormatPr defaultRowHeight="15" x14ac:dyDescent="0.25"/>
  <cols>
    <col min="1" max="1" width="2.7109375" bestFit="1" customWidth="1"/>
    <col min="2" max="7" width="14.7109375" customWidth="1"/>
    <col min="10" max="15" width="8.85546875" style="2"/>
  </cols>
  <sheetData>
    <row r="1" spans="1:16" ht="27" customHeight="1" x14ac:dyDescent="0.25">
      <c r="A1" s="34" t="s">
        <v>1</v>
      </c>
      <c r="B1" s="35"/>
      <c r="C1" s="4">
        <f>K12</f>
        <v>311</v>
      </c>
      <c r="D1" s="34" t="s">
        <v>3</v>
      </c>
      <c r="E1" s="35"/>
      <c r="F1" s="34">
        <f>K11</f>
        <v>39</v>
      </c>
      <c r="G1" s="35"/>
    </row>
    <row r="2" spans="1:16" ht="15.75" x14ac:dyDescent="0.25">
      <c r="A2" s="2" t="s">
        <v>0</v>
      </c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J2" s="11" t="s">
        <v>4</v>
      </c>
      <c r="K2" s="12" t="s">
        <v>10</v>
      </c>
      <c r="L2" s="13" t="s">
        <v>15</v>
      </c>
      <c r="M2" s="12" t="s">
        <v>10</v>
      </c>
      <c r="N2" s="13" t="s">
        <v>18</v>
      </c>
      <c r="O2" s="12" t="s">
        <v>10</v>
      </c>
      <c r="P2" s="13" t="s">
        <v>18</v>
      </c>
    </row>
    <row r="3" spans="1:16" ht="85.15" customHeight="1" x14ac:dyDescent="0.25">
      <c r="A3" s="2">
        <v>1</v>
      </c>
      <c r="B3" s="6" t="s">
        <v>2</v>
      </c>
      <c r="C3" s="1" t="s">
        <v>246</v>
      </c>
      <c r="D3" s="1" t="s">
        <v>247</v>
      </c>
      <c r="E3" s="1" t="s">
        <v>248</v>
      </c>
      <c r="F3" s="1" t="s">
        <v>249</v>
      </c>
      <c r="G3" s="1" t="s">
        <v>250</v>
      </c>
      <c r="J3" s="11">
        <v>1</v>
      </c>
      <c r="K3" s="7"/>
      <c r="L3" s="14">
        <v>887094</v>
      </c>
      <c r="M3" s="14">
        <v>862058</v>
      </c>
      <c r="N3" s="14">
        <v>106827</v>
      </c>
      <c r="O3" s="14">
        <v>887081</v>
      </c>
      <c r="P3" s="14">
        <v>861737</v>
      </c>
    </row>
    <row r="4" spans="1:16" ht="85.15" customHeight="1" x14ac:dyDescent="0.25">
      <c r="A4" s="2">
        <v>2</v>
      </c>
      <c r="B4" s="1" t="s">
        <v>251</v>
      </c>
      <c r="C4" s="1" t="s">
        <v>252</v>
      </c>
      <c r="D4" s="1" t="s">
        <v>253</v>
      </c>
      <c r="E4" s="1" t="s">
        <v>254</v>
      </c>
      <c r="F4" s="1" t="s">
        <v>255</v>
      </c>
      <c r="G4" s="1" t="s">
        <v>256</v>
      </c>
      <c r="J4" s="11">
        <v>2</v>
      </c>
      <c r="K4" s="14">
        <v>862042</v>
      </c>
      <c r="L4" s="14">
        <v>887095</v>
      </c>
      <c r="M4" s="14">
        <v>862064</v>
      </c>
      <c r="N4" s="25">
        <v>766190</v>
      </c>
      <c r="O4" s="14">
        <v>887082</v>
      </c>
      <c r="P4" s="14">
        <v>861740</v>
      </c>
    </row>
    <row r="5" spans="1:16" ht="85.15" customHeight="1" x14ac:dyDescent="0.25">
      <c r="A5" s="2">
        <v>3</v>
      </c>
      <c r="B5" s="1" t="s">
        <v>257</v>
      </c>
      <c r="C5" s="1" t="s">
        <v>258</v>
      </c>
      <c r="D5" s="1" t="s">
        <v>259</v>
      </c>
      <c r="E5" s="1" t="s">
        <v>260</v>
      </c>
      <c r="F5" s="1" t="s">
        <v>261</v>
      </c>
      <c r="G5" s="1" t="s">
        <v>262</v>
      </c>
      <c r="J5" s="11">
        <v>3</v>
      </c>
      <c r="K5" s="14">
        <v>862044</v>
      </c>
      <c r="L5" s="14">
        <v>887096</v>
      </c>
      <c r="M5" s="14">
        <v>877606</v>
      </c>
      <c r="N5" s="15">
        <v>836879</v>
      </c>
      <c r="O5" s="14">
        <v>887084</v>
      </c>
      <c r="P5" s="21">
        <v>861741</v>
      </c>
    </row>
    <row r="6" spans="1:16" ht="85.15" customHeight="1" x14ac:dyDescent="0.25">
      <c r="A6" s="2">
        <v>4</v>
      </c>
      <c r="B6" s="1" t="s">
        <v>263</v>
      </c>
      <c r="C6" s="1" t="s">
        <v>264</v>
      </c>
      <c r="D6" s="1" t="s">
        <v>265</v>
      </c>
      <c r="E6" s="1" t="s">
        <v>266</v>
      </c>
      <c r="F6" s="1" t="s">
        <v>267</v>
      </c>
      <c r="G6" s="1" t="s">
        <v>268</v>
      </c>
      <c r="J6" s="11">
        <v>4</v>
      </c>
      <c r="K6" s="14">
        <v>862045</v>
      </c>
      <c r="L6" s="14">
        <v>888581</v>
      </c>
      <c r="M6" s="14">
        <v>887072</v>
      </c>
      <c r="N6" s="14">
        <v>861721</v>
      </c>
      <c r="O6" s="14">
        <v>887087</v>
      </c>
      <c r="P6" s="14">
        <v>861743</v>
      </c>
    </row>
    <row r="7" spans="1:16" ht="85.15" customHeight="1" x14ac:dyDescent="0.25">
      <c r="A7" s="2">
        <v>5</v>
      </c>
      <c r="B7" s="1" t="s">
        <v>269</v>
      </c>
      <c r="C7" s="1" t="s">
        <v>270</v>
      </c>
      <c r="D7" s="1" t="s">
        <v>271</v>
      </c>
      <c r="E7" s="1" t="s">
        <v>272</v>
      </c>
      <c r="F7" s="1" t="s">
        <v>273</v>
      </c>
      <c r="G7" s="1" t="s">
        <v>274</v>
      </c>
      <c r="J7" s="11">
        <v>5</v>
      </c>
      <c r="K7" s="14">
        <v>862050</v>
      </c>
      <c r="L7" s="10">
        <v>766091</v>
      </c>
      <c r="M7" s="14">
        <v>887074</v>
      </c>
      <c r="N7" s="14">
        <v>861725</v>
      </c>
      <c r="O7" s="21">
        <v>887092</v>
      </c>
      <c r="P7" s="14">
        <v>861744</v>
      </c>
    </row>
    <row r="8" spans="1:16" ht="85.15" customHeight="1" x14ac:dyDescent="0.25">
      <c r="A8" s="2">
        <v>6</v>
      </c>
      <c r="B8" s="1" t="s">
        <v>275</v>
      </c>
      <c r="C8" s="1" t="s">
        <v>276</v>
      </c>
      <c r="D8" s="1" t="s">
        <v>277</v>
      </c>
      <c r="E8" s="1" t="s">
        <v>278</v>
      </c>
      <c r="F8" s="1" t="s">
        <v>279</v>
      </c>
      <c r="G8" s="1" t="s">
        <v>280</v>
      </c>
      <c r="J8" s="11">
        <v>6</v>
      </c>
      <c r="K8" s="14">
        <v>862051</v>
      </c>
      <c r="L8" s="9"/>
      <c r="M8" s="14">
        <v>887075</v>
      </c>
      <c r="N8" s="14">
        <v>861729</v>
      </c>
      <c r="O8" s="14">
        <v>888557</v>
      </c>
      <c r="P8" s="14">
        <v>861745</v>
      </c>
    </row>
    <row r="9" spans="1:16" ht="85.15" customHeight="1" x14ac:dyDescent="0.25">
      <c r="A9" s="2">
        <v>7</v>
      </c>
      <c r="B9" s="1" t="s">
        <v>281</v>
      </c>
      <c r="C9" s="1" t="s">
        <v>276</v>
      </c>
      <c r="D9" s="1" t="s">
        <v>282</v>
      </c>
      <c r="E9" s="1" t="s">
        <v>283</v>
      </c>
      <c r="F9" s="1" t="s">
        <v>284</v>
      </c>
      <c r="G9" s="1" t="s">
        <v>285</v>
      </c>
      <c r="J9" s="11">
        <v>7</v>
      </c>
      <c r="K9" s="14">
        <v>862057</v>
      </c>
      <c r="L9" s="8"/>
      <c r="M9" s="14">
        <v>887079</v>
      </c>
      <c r="N9" s="14">
        <v>861733</v>
      </c>
      <c r="O9" s="14">
        <v>888561</v>
      </c>
      <c r="P9" s="14">
        <v>861751</v>
      </c>
    </row>
    <row r="10" spans="1:16" ht="15.75" x14ac:dyDescent="0.25">
      <c r="J10" s="11" t="s">
        <v>7</v>
      </c>
      <c r="K10" s="37">
        <f>COUNTA(K3:M9)</f>
        <v>18</v>
      </c>
      <c r="L10" s="38"/>
      <c r="M10" s="39"/>
      <c r="N10" s="37">
        <f>COUNTA(N3:P9)</f>
        <v>21</v>
      </c>
      <c r="O10" s="38"/>
      <c r="P10" s="39"/>
    </row>
    <row r="11" spans="1:16" ht="14.45" customHeight="1" x14ac:dyDescent="0.25">
      <c r="J11" s="11" t="s">
        <v>8</v>
      </c>
      <c r="K11" s="33">
        <f>K10+N10</f>
        <v>39</v>
      </c>
      <c r="L11" s="33"/>
      <c r="M11" s="33"/>
      <c r="N11" s="33"/>
      <c r="O11" s="33"/>
      <c r="P11" s="33"/>
    </row>
    <row r="12" spans="1:16" ht="14.45" customHeight="1" x14ac:dyDescent="0.25">
      <c r="J12" s="5" t="s">
        <v>9</v>
      </c>
      <c r="K12" s="33">
        <v>311</v>
      </c>
      <c r="L12" s="33"/>
      <c r="M12" s="33"/>
      <c r="N12" s="33"/>
      <c r="O12" s="33"/>
      <c r="P12" s="33"/>
    </row>
    <row r="13" spans="1:16" ht="15.75" x14ac:dyDescent="0.25">
      <c r="J13" s="11" t="s">
        <v>16</v>
      </c>
      <c r="K13" s="33" t="s">
        <v>17</v>
      </c>
      <c r="L13" s="33"/>
      <c r="M13" s="33"/>
      <c r="N13" s="33"/>
      <c r="O13" s="33"/>
      <c r="P13" s="33"/>
    </row>
  </sheetData>
  <mergeCells count="8">
    <mergeCell ref="K11:P11"/>
    <mergeCell ref="K12:P12"/>
    <mergeCell ref="K13:P13"/>
    <mergeCell ref="A1:B1"/>
    <mergeCell ref="D1:E1"/>
    <mergeCell ref="F1:G1"/>
    <mergeCell ref="K10:M10"/>
    <mergeCell ref="N10:P10"/>
  </mergeCells>
  <conditionalFormatting sqref="K4:K5">
    <cfRule type="duplicateValues" dxfId="26" priority="11"/>
    <cfRule type="duplicateValues" dxfId="25" priority="12"/>
    <cfRule type="duplicateValues" dxfId="24" priority="13"/>
    <cfRule type="duplicateValues" dxfId="23" priority="14"/>
    <cfRule type="duplicateValues" dxfId="22" priority="15"/>
    <cfRule type="duplicateValues" dxfId="21" priority="16"/>
    <cfRule type="duplicateValues" dxfId="20" priority="17"/>
  </conditionalFormatting>
  <conditionalFormatting sqref="K7:K9">
    <cfRule type="duplicateValues" dxfId="19" priority="18"/>
    <cfRule type="duplicateValues" dxfId="18" priority="19"/>
  </conditionalFormatting>
  <conditionalFormatting sqref="L3:L6">
    <cfRule type="duplicateValues" dxfId="17" priority="5"/>
    <cfRule type="duplicateValues" dxfId="16" priority="6"/>
  </conditionalFormatting>
  <conditionalFormatting sqref="M3:M9">
    <cfRule type="duplicateValues" dxfId="15" priority="9"/>
    <cfRule type="duplicateValues" dxfId="14" priority="10"/>
  </conditionalFormatting>
  <conditionalFormatting sqref="N3:N9">
    <cfRule type="duplicateValues" dxfId="13" priority="3"/>
    <cfRule type="duplicateValues" dxfId="12" priority="4"/>
  </conditionalFormatting>
  <conditionalFormatting sqref="O3:O9">
    <cfRule type="duplicateValues" dxfId="11" priority="7"/>
    <cfRule type="duplicateValues" dxfId="10" priority="8"/>
  </conditionalFormatting>
  <conditionalFormatting sqref="P3:P9">
    <cfRule type="duplicateValues" dxfId="9" priority="1"/>
    <cfRule type="duplicateValues" dxfId="8" priority="2"/>
  </conditionalFormatting>
  <pageMargins left="0.45" right="0.45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ADE84-2555-48E5-AAF1-EA370FAD5374}">
  <dimension ref="A1:P13"/>
  <sheetViews>
    <sheetView tabSelected="1" topLeftCell="A3" zoomScale="55" zoomScaleNormal="55" workbookViewId="0">
      <selection activeCell="B3" sqref="B3:G9"/>
    </sheetView>
  </sheetViews>
  <sheetFormatPr defaultRowHeight="15" x14ac:dyDescent="0.25"/>
  <cols>
    <col min="1" max="1" width="2.7109375" bestFit="1" customWidth="1"/>
    <col min="2" max="7" width="14.7109375" customWidth="1"/>
    <col min="10" max="15" width="8.85546875" style="2"/>
  </cols>
  <sheetData>
    <row r="1" spans="1:16" ht="27" customHeight="1" x14ac:dyDescent="0.25">
      <c r="A1" s="34" t="s">
        <v>1</v>
      </c>
      <c r="B1" s="35"/>
      <c r="C1" s="4">
        <f>K12</f>
        <v>312</v>
      </c>
      <c r="D1" s="34" t="s">
        <v>3</v>
      </c>
      <c r="E1" s="35"/>
      <c r="F1" s="34">
        <f>K11</f>
        <v>31</v>
      </c>
      <c r="G1" s="35"/>
    </row>
    <row r="2" spans="1:16" ht="15.75" x14ac:dyDescent="0.25">
      <c r="A2" s="2" t="s">
        <v>0</v>
      </c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J2" s="26" t="s">
        <v>4</v>
      </c>
      <c r="K2" s="27" t="s">
        <v>10</v>
      </c>
      <c r="L2" s="13" t="s">
        <v>18</v>
      </c>
      <c r="M2" s="27" t="s">
        <v>10</v>
      </c>
      <c r="N2" s="13" t="s">
        <v>18</v>
      </c>
      <c r="O2" s="27" t="s">
        <v>5</v>
      </c>
      <c r="P2" s="13" t="s">
        <v>18</v>
      </c>
    </row>
    <row r="3" spans="1:16" ht="85.15" customHeight="1" x14ac:dyDescent="0.25">
      <c r="A3" s="2">
        <v>1</v>
      </c>
      <c r="B3" s="6" t="s">
        <v>2</v>
      </c>
      <c r="C3" s="1" t="s">
        <v>286</v>
      </c>
      <c r="D3" s="1" t="s">
        <v>287</v>
      </c>
      <c r="E3" s="1" t="s">
        <v>288</v>
      </c>
      <c r="F3" s="1" t="s">
        <v>289</v>
      </c>
      <c r="G3" s="1" t="s">
        <v>290</v>
      </c>
      <c r="J3" s="26">
        <v>1</v>
      </c>
      <c r="K3" s="7"/>
      <c r="L3" s="14">
        <v>861752</v>
      </c>
      <c r="M3" s="32">
        <v>765907</v>
      </c>
      <c r="N3" s="14">
        <v>862121</v>
      </c>
      <c r="O3" s="22" t="s">
        <v>12</v>
      </c>
      <c r="P3" s="14">
        <v>862139</v>
      </c>
    </row>
    <row r="4" spans="1:16" ht="85.15" customHeight="1" x14ac:dyDescent="0.25">
      <c r="A4" s="2">
        <v>2</v>
      </c>
      <c r="B4" s="1" t="s">
        <v>291</v>
      </c>
      <c r="C4" s="1" t="s">
        <v>292</v>
      </c>
      <c r="D4" s="1" t="s">
        <v>293</v>
      </c>
      <c r="E4" s="1" t="s">
        <v>294</v>
      </c>
      <c r="F4" s="1" t="s">
        <v>295</v>
      </c>
      <c r="G4" s="1" t="s">
        <v>296</v>
      </c>
      <c r="J4" s="26">
        <v>2</v>
      </c>
      <c r="K4" s="14">
        <v>888563</v>
      </c>
      <c r="L4" s="14">
        <v>861756</v>
      </c>
      <c r="M4" s="31"/>
      <c r="N4" s="14">
        <v>862122</v>
      </c>
      <c r="O4" s="23" t="s">
        <v>13</v>
      </c>
      <c r="P4" s="15">
        <v>874140</v>
      </c>
    </row>
    <row r="5" spans="1:16" ht="85.15" customHeight="1" x14ac:dyDescent="0.25">
      <c r="A5" s="2">
        <v>3</v>
      </c>
      <c r="B5" s="1" t="s">
        <v>297</v>
      </c>
      <c r="C5" s="1" t="s">
        <v>298</v>
      </c>
      <c r="D5" s="1" t="s">
        <v>293</v>
      </c>
      <c r="E5" s="1" t="s">
        <v>299</v>
      </c>
      <c r="F5" s="1" t="s">
        <v>300</v>
      </c>
      <c r="G5" s="1" t="s">
        <v>301</v>
      </c>
      <c r="J5" s="26">
        <v>3</v>
      </c>
      <c r="K5" s="14">
        <v>888565</v>
      </c>
      <c r="L5" s="14">
        <v>862104</v>
      </c>
      <c r="M5" s="30"/>
      <c r="N5" s="17">
        <v>862124</v>
      </c>
      <c r="O5" s="28">
        <v>861546</v>
      </c>
      <c r="P5" s="28">
        <v>766230</v>
      </c>
    </row>
    <row r="6" spans="1:16" ht="85.15" customHeight="1" x14ac:dyDescent="0.25">
      <c r="A6" s="2">
        <v>4</v>
      </c>
      <c r="B6" s="1" t="s">
        <v>302</v>
      </c>
      <c r="C6" s="1" t="s">
        <v>303</v>
      </c>
      <c r="D6" s="1" t="s">
        <v>293</v>
      </c>
      <c r="E6" s="1" t="s">
        <v>304</v>
      </c>
      <c r="F6" s="1" t="s">
        <v>305</v>
      </c>
      <c r="G6" s="1" t="s">
        <v>306</v>
      </c>
      <c r="J6" s="26">
        <v>4</v>
      </c>
      <c r="K6" s="14">
        <v>888568</v>
      </c>
      <c r="L6" s="14">
        <v>862108</v>
      </c>
      <c r="M6" s="31"/>
      <c r="N6" s="14">
        <v>862129</v>
      </c>
      <c r="O6" s="28">
        <v>861562</v>
      </c>
      <c r="P6" s="30"/>
    </row>
    <row r="7" spans="1:16" ht="85.15" customHeight="1" x14ac:dyDescent="0.25">
      <c r="A7" s="2">
        <v>5</v>
      </c>
      <c r="B7" s="1" t="s">
        <v>307</v>
      </c>
      <c r="C7" s="1" t="s">
        <v>308</v>
      </c>
      <c r="D7" s="1" t="s">
        <v>293</v>
      </c>
      <c r="E7" s="1" t="s">
        <v>309</v>
      </c>
      <c r="F7" s="1" t="s">
        <v>310</v>
      </c>
      <c r="G7" s="1" t="s">
        <v>306</v>
      </c>
      <c r="J7" s="26">
        <v>5</v>
      </c>
      <c r="K7" s="14">
        <v>888570</v>
      </c>
      <c r="L7" s="14">
        <v>862109</v>
      </c>
      <c r="M7" s="30"/>
      <c r="N7" s="14">
        <v>862130</v>
      </c>
      <c r="O7" s="28">
        <v>861615</v>
      </c>
      <c r="P7" s="31"/>
    </row>
    <row r="8" spans="1:16" ht="85.15" customHeight="1" x14ac:dyDescent="0.25">
      <c r="A8" s="2">
        <v>6</v>
      </c>
      <c r="B8" s="1" t="s">
        <v>311</v>
      </c>
      <c r="C8" s="1" t="s">
        <v>312</v>
      </c>
      <c r="D8" s="1" t="s">
        <v>293</v>
      </c>
      <c r="E8" s="1" t="s">
        <v>313</v>
      </c>
      <c r="F8" s="1" t="s">
        <v>314</v>
      </c>
      <c r="G8" s="1" t="s">
        <v>306</v>
      </c>
      <c r="J8" s="26">
        <v>6</v>
      </c>
      <c r="K8" s="14">
        <v>888578</v>
      </c>
      <c r="L8" s="14">
        <v>862110</v>
      </c>
      <c r="M8" s="31"/>
      <c r="N8" s="14">
        <v>862133</v>
      </c>
      <c r="O8" s="29">
        <v>861824</v>
      </c>
      <c r="P8" s="30"/>
    </row>
    <row r="9" spans="1:16" ht="85.15" customHeight="1" x14ac:dyDescent="0.25">
      <c r="A9" s="2">
        <v>7</v>
      </c>
      <c r="B9" s="1" t="s">
        <v>315</v>
      </c>
      <c r="C9" s="1" t="s">
        <v>316</v>
      </c>
      <c r="D9" s="1" t="s">
        <v>293</v>
      </c>
      <c r="E9" s="1" t="s">
        <v>317</v>
      </c>
      <c r="F9" s="1" t="s">
        <v>318</v>
      </c>
      <c r="G9" s="1" t="s">
        <v>306</v>
      </c>
      <c r="J9" s="26">
        <v>7</v>
      </c>
      <c r="K9" s="24" t="s">
        <v>19</v>
      </c>
      <c r="L9" s="14">
        <v>862112</v>
      </c>
      <c r="M9" s="30"/>
      <c r="N9" s="14">
        <v>862137</v>
      </c>
      <c r="O9" s="29">
        <v>862005</v>
      </c>
      <c r="P9" s="31"/>
    </row>
    <row r="10" spans="1:16" ht="15.75" x14ac:dyDescent="0.25">
      <c r="J10" s="26" t="s">
        <v>7</v>
      </c>
      <c r="K10" s="36">
        <f>COUNTA(K3:M9)</f>
        <v>14</v>
      </c>
      <c r="L10" s="36"/>
      <c r="M10" s="36"/>
      <c r="N10" s="36">
        <f>COUNTA(N3:P9)</f>
        <v>17</v>
      </c>
      <c r="O10" s="36"/>
      <c r="P10" s="36"/>
    </row>
    <row r="11" spans="1:16" ht="14.45" customHeight="1" x14ac:dyDescent="0.25">
      <c r="J11" s="26" t="s">
        <v>8</v>
      </c>
      <c r="K11" s="33">
        <f>K10+N10</f>
        <v>31</v>
      </c>
      <c r="L11" s="33"/>
      <c r="M11" s="33"/>
      <c r="N11" s="33"/>
      <c r="O11" s="33"/>
      <c r="P11" s="33"/>
    </row>
    <row r="12" spans="1:16" ht="14.45" customHeight="1" x14ac:dyDescent="0.25">
      <c r="J12" s="5" t="s">
        <v>9</v>
      </c>
      <c r="K12" s="33">
        <v>312</v>
      </c>
      <c r="L12" s="33"/>
      <c r="M12" s="33"/>
      <c r="N12" s="33"/>
      <c r="O12" s="33"/>
      <c r="P12" s="33"/>
    </row>
    <row r="13" spans="1:16" ht="15.75" x14ac:dyDescent="0.25">
      <c r="J13" s="26" t="s">
        <v>16</v>
      </c>
      <c r="K13" s="33" t="s">
        <v>17</v>
      </c>
      <c r="L13" s="33"/>
      <c r="M13" s="33"/>
      <c r="N13" s="33"/>
      <c r="O13" s="33"/>
      <c r="P13" s="33"/>
    </row>
  </sheetData>
  <mergeCells count="8">
    <mergeCell ref="K11:P11"/>
    <mergeCell ref="K12:P12"/>
    <mergeCell ref="K13:P13"/>
    <mergeCell ref="A1:B1"/>
    <mergeCell ref="D1:E1"/>
    <mergeCell ref="F1:G1"/>
    <mergeCell ref="K10:M10"/>
    <mergeCell ref="N10:P10"/>
  </mergeCells>
  <conditionalFormatting sqref="K4:K9">
    <cfRule type="duplicateValues" dxfId="7" priority="7"/>
    <cfRule type="duplicateValues" dxfId="6" priority="8"/>
  </conditionalFormatting>
  <conditionalFormatting sqref="L3:L9">
    <cfRule type="duplicateValues" dxfId="5" priority="5"/>
    <cfRule type="duplicateValues" dxfId="4" priority="6"/>
  </conditionalFormatting>
  <conditionalFormatting sqref="N3:N9">
    <cfRule type="duplicateValues" dxfId="3" priority="3"/>
    <cfRule type="duplicateValues" dxfId="2" priority="4"/>
  </conditionalFormatting>
  <conditionalFormatting sqref="P3:P4">
    <cfRule type="duplicateValues" dxfId="1" priority="1"/>
    <cfRule type="duplicateValues" dxfId="0" priority="2"/>
  </conditionalFormatting>
  <pageMargins left="0.45" right="0.4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115-47</vt:lpstr>
      <vt:lpstr>213-47</vt:lpstr>
      <vt:lpstr>214-47 </vt:lpstr>
      <vt:lpstr>215-47</vt:lpstr>
      <vt:lpstr>112-41</vt:lpstr>
      <vt:lpstr>311-41</vt:lpstr>
      <vt:lpstr>312-41</vt:lpstr>
      <vt:lpstr>'112-41'!Print_Area</vt:lpstr>
      <vt:lpstr>'115-47'!Print_Area</vt:lpstr>
      <vt:lpstr>'213-47'!Print_Area</vt:lpstr>
      <vt:lpstr>'214-47 '!Print_Area</vt:lpstr>
      <vt:lpstr>'215-47'!Print_Area</vt:lpstr>
      <vt:lpstr>'311-41'!Print_Area</vt:lpstr>
      <vt:lpstr>'312-41'!Print_Area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Sheikh Mohammad Ashraful</dc:creator>
  <cp:lastModifiedBy>Sheikh Mohammad Ashraful</cp:lastModifiedBy>
  <cp:lastPrinted>2026-06-05T01:49:06Z</cp:lastPrinted>
  <dcterms:created xsi:type="dcterms:W3CDTF">2026-01-08T11:23:12Z</dcterms:created>
  <dcterms:modified xsi:type="dcterms:W3CDTF">2026-06-05T03:18:16Z</dcterms:modified>
</cp:coreProperties>
</file>