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Control Room NPI\MID TERM JUNE-2026\SEAT PLAN MID TERM JUNE-2026\Seat Planning Python\"/>
    </mc:Choice>
  </mc:AlternateContent>
  <xr:revisionPtr revIDLastSave="0" documentId="13_ncr:1_{C0973B12-203D-4139-9D16-E2F9B24AF800}" xr6:coauthVersionLast="47" xr6:coauthVersionMax="47" xr10:uidLastSave="{00000000-0000-0000-0000-000000000000}"/>
  <bookViews>
    <workbookView xWindow="-120" yWindow="-120" windowWidth="20730" windowHeight="11160" activeTab="7" xr2:uid="{668686C8-A2A0-4977-A14D-C803AB3F7302}"/>
  </bookViews>
  <sheets>
    <sheet name="115-47" sheetId="5" r:id="rId1"/>
    <sheet name="213-47" sheetId="7" r:id="rId2"/>
    <sheet name="214-47 " sheetId="8" r:id="rId3"/>
    <sheet name="215-47" sheetId="9" r:id="rId4"/>
    <sheet name="112-41" sheetId="6" r:id="rId5"/>
    <sheet name="311-41" sheetId="18" r:id="rId6"/>
    <sheet name="312-41" sheetId="11" r:id="rId7"/>
    <sheet name="313-41" sheetId="12" r:id="rId8"/>
  </sheets>
  <definedNames>
    <definedName name="_xlnm.Print_Area" localSheetId="4">'112-41'!$A$1:$G$9</definedName>
    <definedName name="_xlnm.Print_Area" localSheetId="0">'115-47'!$A$1:$G$10</definedName>
    <definedName name="_xlnm.Print_Area" localSheetId="1">'213-47'!$A$1:$G$10</definedName>
    <definedName name="_xlnm.Print_Area" localSheetId="2">'214-47 '!$A$1:$G$10</definedName>
    <definedName name="_xlnm.Print_Area" localSheetId="3">'215-47'!$A$1:$G$10</definedName>
    <definedName name="_xlnm.Print_Area" localSheetId="5">'311-41'!$A$1:$G$9</definedName>
    <definedName name="_xlnm.Print_Area" localSheetId="6">'312-41'!$A$1:$G$9</definedName>
    <definedName name="_xlnm.Print_Area" localSheetId="7">'313-41'!$A$1:$G$9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0" i="12" l="1"/>
  <c r="K10" i="12"/>
  <c r="K11" i="12" s="1"/>
  <c r="N10" i="11"/>
  <c r="K10" i="11"/>
  <c r="K11" i="11" s="1"/>
  <c r="N10" i="18"/>
  <c r="K10" i="18"/>
  <c r="K11" i="18" s="1"/>
  <c r="F1" i="18" s="1"/>
  <c r="C1" i="18"/>
  <c r="N10" i="6"/>
  <c r="K10" i="6"/>
  <c r="K11" i="6" s="1"/>
  <c r="N11" i="9"/>
  <c r="K11" i="9"/>
  <c r="K12" i="9" s="1"/>
  <c r="N11" i="8"/>
  <c r="K11" i="8"/>
  <c r="K12" i="8" s="1"/>
  <c r="N11" i="7"/>
  <c r="K11" i="7"/>
  <c r="K12" i="7" s="1"/>
  <c r="N11" i="5"/>
  <c r="K11" i="5"/>
  <c r="K12" i="5" s="1"/>
  <c r="G9" i="6" l="1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B6" i="6"/>
  <c r="G5" i="6"/>
  <c r="F5" i="6"/>
  <c r="E5" i="6"/>
  <c r="D5" i="6"/>
  <c r="C5" i="6"/>
  <c r="B5" i="6"/>
  <c r="G4" i="6"/>
  <c r="F4" i="6"/>
  <c r="E4" i="6"/>
  <c r="D4" i="6"/>
  <c r="C4" i="6"/>
  <c r="B4" i="6"/>
  <c r="G3" i="6"/>
  <c r="F3" i="6"/>
  <c r="E3" i="6"/>
  <c r="D3" i="6"/>
  <c r="C3" i="6"/>
  <c r="F1" i="12" l="1"/>
  <c r="F1" i="11"/>
  <c r="F1" i="6"/>
  <c r="F1" i="9"/>
  <c r="F1" i="5"/>
  <c r="C1" i="12"/>
  <c r="C1" i="11"/>
  <c r="C1" i="6"/>
  <c r="C1" i="9"/>
  <c r="C1" i="8"/>
  <c r="C1" i="7"/>
  <c r="C1" i="5"/>
  <c r="F1" i="8" l="1"/>
  <c r="F1" i="7"/>
</calcChain>
</file>

<file path=xl/sharedStrings.xml><?xml version="1.0" encoding="utf-8"?>
<sst xmlns="http://schemas.openxmlformats.org/spreadsheetml/2006/main" count="661" uniqueCount="549">
  <si>
    <t>SL</t>
  </si>
  <si>
    <t xml:space="preserve">ROOM </t>
  </si>
  <si>
    <t>DOOR</t>
  </si>
  <si>
    <t>TOTAL STUDENTS</t>
  </si>
  <si>
    <t>TECH</t>
  </si>
  <si>
    <t>TOTAL</t>
  </si>
  <si>
    <t>G.total</t>
  </si>
  <si>
    <t>ROOM NO</t>
  </si>
  <si>
    <t>INSTITUTE</t>
  </si>
  <si>
    <t>NPI</t>
  </si>
  <si>
    <t>3CT</t>
  </si>
  <si>
    <t>3CST</t>
  </si>
  <si>
    <t> 761823</t>
  </si>
  <si>
    <t>248109 </t>
  </si>
  <si>
    <t>248110 </t>
  </si>
  <si>
    <t>248111 </t>
  </si>
  <si>
    <t>248113 </t>
  </si>
  <si>
    <t>248116 </t>
  </si>
  <si>
    <t>248117 </t>
  </si>
  <si>
    <t>248121 </t>
  </si>
  <si>
    <t>248134 </t>
  </si>
  <si>
    <t>248144 </t>
  </si>
  <si>
    <t>248125 </t>
  </si>
  <si>
    <t>248135 </t>
  </si>
  <si>
    <t>248147 </t>
  </si>
  <si>
    <t>248127 </t>
  </si>
  <si>
    <t>248136 </t>
  </si>
  <si>
    <t>248149 </t>
  </si>
  <si>
    <t>248128 </t>
  </si>
  <si>
    <t>248138 </t>
  </si>
  <si>
    <t>248152 </t>
  </si>
  <si>
    <t>248129 </t>
  </si>
  <si>
    <t>248139 </t>
  </si>
  <si>
    <t>248153 </t>
  </si>
  <si>
    <t>248130 </t>
  </si>
  <si>
    <t>248141 </t>
  </si>
  <si>
    <t>248154 </t>
  </si>
  <si>
    <t>248131 </t>
  </si>
  <si>
    <t>248142 </t>
  </si>
  <si>
    <t>248159 </t>
  </si>
  <si>
    <t>248133 </t>
  </si>
  <si>
    <t>248143 </t>
  </si>
  <si>
    <t>248160 </t>
  </si>
  <si>
    <t>248162 </t>
  </si>
  <si>
    <t>248164 </t>
  </si>
  <si>
    <t>248165 </t>
  </si>
  <si>
    <t>248167 </t>
  </si>
  <si>
    <t>248168 </t>
  </si>
  <si>
    <t>248169 </t>
  </si>
  <si>
    <t>248171 </t>
  </si>
  <si>
    <t>248172 </t>
  </si>
  <si>
    <t>248175 </t>
  </si>
  <si>
    <t>248176 </t>
  </si>
  <si>
    <t>248177 </t>
  </si>
  <si>
    <t>248178 </t>
  </si>
  <si>
    <t>248179 </t>
  </si>
  <si>
    <t>248180 </t>
  </si>
  <si>
    <t>248181 </t>
  </si>
  <si>
    <t>248183 </t>
  </si>
  <si>
    <t>248186 </t>
  </si>
  <si>
    <t>248187 </t>
  </si>
  <si>
    <t>248188 </t>
  </si>
  <si>
    <t>248189 </t>
  </si>
  <si>
    <t>248190 </t>
  </si>
  <si>
    <t>248192 </t>
  </si>
  <si>
    <t>248193 </t>
  </si>
  <si>
    <t>3ET</t>
  </si>
  <si>
    <t>248404 </t>
  </si>
  <si>
    <t>248416 </t>
  </si>
  <si>
    <t>248194 </t>
  </si>
  <si>
    <t>248405 </t>
  </si>
  <si>
    <t>248417 </t>
  </si>
  <si>
    <t>248198 </t>
  </si>
  <si>
    <t>248406 </t>
  </si>
  <si>
    <t>248419 </t>
  </si>
  <si>
    <t>248199 </t>
  </si>
  <si>
    <t>248408 </t>
  </si>
  <si>
    <t>248420 </t>
  </si>
  <si>
    <t>248202 </t>
  </si>
  <si>
    <t>248409 </t>
  </si>
  <si>
    <t>248421 </t>
  </si>
  <si>
    <t>248203 </t>
  </si>
  <si>
    <t>248411 </t>
  </si>
  <si>
    <t>248422 </t>
  </si>
  <si>
    <t>248204 </t>
  </si>
  <si>
    <t>248412 </t>
  </si>
  <si>
    <t>248424 </t>
  </si>
  <si>
    <t>248399 </t>
  </si>
  <si>
    <t>248413 </t>
  </si>
  <si>
    <t>248429 </t>
  </si>
  <si>
    <t> 861597</t>
  </si>
  <si>
    <t> 861620</t>
  </si>
  <si>
    <t>248449 </t>
  </si>
  <si>
    <t>248216 </t>
  </si>
  <si>
    <t>248466 </t>
  </si>
  <si>
    <t>248231 </t>
  </si>
  <si>
    <t>248439 </t>
  </si>
  <si>
    <t> 861645</t>
  </si>
  <si>
    <t>248450 </t>
  </si>
  <si>
    <t>248220 </t>
  </si>
  <si>
    <t>248467 </t>
  </si>
  <si>
    <t>248233 </t>
  </si>
  <si>
    <t>248441 </t>
  </si>
  <si>
    <t> 861667</t>
  </si>
  <si>
    <t>248454 </t>
  </si>
  <si>
    <t>248221 </t>
  </si>
  <si>
    <t>248469 </t>
  </si>
  <si>
    <t>248234 </t>
  </si>
  <si>
    <t>248442 </t>
  </si>
  <si>
    <t> 861894</t>
  </si>
  <si>
    <t>248457 </t>
  </si>
  <si>
    <t>248222 </t>
  </si>
  <si>
    <t>248470 </t>
  </si>
  <si>
    <t>248235 </t>
  </si>
  <si>
    <t>248443 </t>
  </si>
  <si>
    <t>248213 </t>
  </si>
  <si>
    <t>248458 </t>
  </si>
  <si>
    <t>248224 </t>
  </si>
  <si>
    <t>248473 </t>
  </si>
  <si>
    <t>248236 </t>
  </si>
  <si>
    <t>248444 </t>
  </si>
  <si>
    <t>248214 </t>
  </si>
  <si>
    <t>248459 </t>
  </si>
  <si>
    <t>248225 </t>
  </si>
  <si>
    <t>248475 </t>
  </si>
  <si>
    <t>248237 </t>
  </si>
  <si>
    <t>248448 </t>
  </si>
  <si>
    <t>248215 </t>
  </si>
  <si>
    <t>248461 </t>
  </si>
  <si>
    <t>248228 </t>
  </si>
  <si>
    <t>248477 </t>
  </si>
  <si>
    <t>248238 </t>
  </si>
  <si>
    <t>3FT</t>
  </si>
  <si>
    <t>248240 </t>
  </si>
  <si>
    <t>248488 </t>
  </si>
  <si>
    <t>248252 </t>
  </si>
  <si>
    <t> 862087</t>
  </si>
  <si>
    <t>248503 </t>
  </si>
  <si>
    <t>248478 </t>
  </si>
  <si>
    <t>248242 </t>
  </si>
  <si>
    <t>248490 </t>
  </si>
  <si>
    <t>248253 </t>
  </si>
  <si>
    <t>248258 </t>
  </si>
  <si>
    <t>248505 </t>
  </si>
  <si>
    <t>248481 </t>
  </si>
  <si>
    <t>248243 </t>
  </si>
  <si>
    <t>248495 </t>
  </si>
  <si>
    <t>248254 </t>
  </si>
  <si>
    <t>248259 </t>
  </si>
  <si>
    <t>248506 </t>
  </si>
  <si>
    <t>248482 </t>
  </si>
  <si>
    <t>248245 </t>
  </si>
  <si>
    <t>248255 </t>
  </si>
  <si>
    <t>248261 </t>
  </si>
  <si>
    <t>248507 </t>
  </si>
  <si>
    <t>248483 </t>
  </si>
  <si>
    <t>248246 </t>
  </si>
  <si>
    <t>248256 </t>
  </si>
  <si>
    <t>248263 </t>
  </si>
  <si>
    <t>248511 </t>
  </si>
  <si>
    <t>248486 </t>
  </si>
  <si>
    <t>248250 </t>
  </si>
  <si>
    <t>248530 </t>
  </si>
  <si>
    <t>248500 </t>
  </si>
  <si>
    <t>248267 </t>
  </si>
  <si>
    <t>248512 </t>
  </si>
  <si>
    <t>248487 </t>
  </si>
  <si>
    <t>248251 </t>
  </si>
  <si>
    <t>248502 </t>
  </si>
  <si>
    <t>248273 </t>
  </si>
  <si>
    <t>248513 </t>
  </si>
  <si>
    <t>248275 </t>
  </si>
  <si>
    <t>248524 </t>
  </si>
  <si>
    <t>248284 </t>
  </si>
  <si>
    <t>248537 </t>
  </si>
  <si>
    <t>248302 </t>
  </si>
  <si>
    <t>248514 </t>
  </si>
  <si>
    <t>248276 </t>
  </si>
  <si>
    <t>248525 </t>
  </si>
  <si>
    <t>248287 </t>
  </si>
  <si>
    <t>248538 </t>
  </si>
  <si>
    <t>248553 </t>
  </si>
  <si>
    <t>248517 </t>
  </si>
  <si>
    <t>248278 </t>
  </si>
  <si>
    <t>248526 </t>
  </si>
  <si>
    <t>248288 </t>
  </si>
  <si>
    <t>248544 </t>
  </si>
  <si>
    <t>248554 </t>
  </si>
  <si>
    <t>248518 </t>
  </si>
  <si>
    <t>248280 </t>
  </si>
  <si>
    <t>248527 </t>
  </si>
  <si>
    <t>248292 </t>
  </si>
  <si>
    <t>248546 </t>
  </si>
  <si>
    <t>248555 </t>
  </si>
  <si>
    <t>248519 </t>
  </si>
  <si>
    <t>248281 </t>
  </si>
  <si>
    <t>248532 </t>
  </si>
  <si>
    <t>248293 </t>
  </si>
  <si>
    <t>248547 </t>
  </si>
  <si>
    <t>248557 </t>
  </si>
  <si>
    <t>248520 </t>
  </si>
  <si>
    <t>248282 </t>
  </si>
  <si>
    <t>248533 </t>
  </si>
  <si>
    <t>248294 </t>
  </si>
  <si>
    <t>270304 </t>
  </si>
  <si>
    <t>248558 </t>
  </si>
  <si>
    <t>248521 </t>
  </si>
  <si>
    <t>248283 </t>
  </si>
  <si>
    <t>248535 </t>
  </si>
  <si>
    <t>248299 </t>
  </si>
  <si>
    <t>765883 </t>
  </si>
  <si>
    <t>248562 </t>
  </si>
  <si>
    <t>3RAC</t>
  </si>
  <si>
    <t>248569 </t>
  </si>
  <si>
    <t>248307 </t>
  </si>
  <si>
    <t>248321 </t>
  </si>
  <si>
    <t>248591 </t>
  </si>
  <si>
    <t>248570 </t>
  </si>
  <si>
    <t>248309 </t>
  </si>
  <si>
    <t>248322 </t>
  </si>
  <si>
    <t>248609 </t>
  </si>
  <si>
    <t>248571 </t>
  </si>
  <si>
    <t>248311 </t>
  </si>
  <si>
    <t>248115 </t>
  </si>
  <si>
    <t>248325 </t>
  </si>
  <si>
    <t>248611 </t>
  </si>
  <si>
    <t> 862114</t>
  </si>
  <si>
    <t>248572 </t>
  </si>
  <si>
    <t>248313 </t>
  </si>
  <si>
    <t>248197 </t>
  </si>
  <si>
    <t>248326 </t>
  </si>
  <si>
    <t>248617 </t>
  </si>
  <si>
    <t>248304 </t>
  </si>
  <si>
    <t>248575 </t>
  </si>
  <si>
    <t>248314 </t>
  </si>
  <si>
    <t>248415 </t>
  </si>
  <si>
    <t>248343 </t>
  </si>
  <si>
    <t>248618 </t>
  </si>
  <si>
    <t>248305 </t>
  </si>
  <si>
    <t>248316 </t>
  </si>
  <si>
    <t>248584 </t>
  </si>
  <si>
    <t>861731 </t>
  </si>
  <si>
    <t>248306 </t>
  </si>
  <si>
    <t>248320 </t>
  </si>
  <si>
    <t>248588 </t>
  </si>
  <si>
    <t>3CST
168148</t>
  </si>
  <si>
    <t>3CT
175642</t>
  </si>
  <si>
    <t>3CST
175643</t>
  </si>
  <si>
    <t>3CT
 761823</t>
  </si>
  <si>
    <t>3CST
248360</t>
  </si>
  <si>
    <t>3CT
153712</t>
  </si>
  <si>
    <t>3CST
170513</t>
  </si>
  <si>
    <t>3CT
177761</t>
  </si>
  <si>
    <t>3CST
175726</t>
  </si>
  <si>
    <t>3CT
248109 </t>
  </si>
  <si>
    <t>3CST
248361</t>
  </si>
  <si>
    <t>3CT
167591</t>
  </si>
  <si>
    <t>3CST
172174</t>
  </si>
  <si>
    <t>3CT
178567</t>
  </si>
  <si>
    <t>3CST
176648</t>
  </si>
  <si>
    <t>3CT
248110 </t>
  </si>
  <si>
    <t>3CST
248362</t>
  </si>
  <si>
    <t>3CT
169161</t>
  </si>
  <si>
    <t>3CST
172276</t>
  </si>
  <si>
    <t>3CT
187192</t>
  </si>
  <si>
    <t>3CST
176910</t>
  </si>
  <si>
    <t>3CT
248111 </t>
  </si>
  <si>
    <t>3CST
248363</t>
  </si>
  <si>
    <t>3CT
170880</t>
  </si>
  <si>
    <t>3CST
173286</t>
  </si>
  <si>
    <t>3CT
193125</t>
  </si>
  <si>
    <t>3CST
236575</t>
  </si>
  <si>
    <t>3CT
248113 </t>
  </si>
  <si>
    <t>3CST
248364</t>
  </si>
  <si>
    <t>3CT
172408</t>
  </si>
  <si>
    <t>3CST
173701</t>
  </si>
  <si>
    <t>3CT
202077</t>
  </si>
  <si>
    <t>3CST
248353</t>
  </si>
  <si>
    <t>3CT
248116 </t>
  </si>
  <si>
    <t>3CST
248365</t>
  </si>
  <si>
    <t>3CT
173337</t>
  </si>
  <si>
    <t>3CST
174196</t>
  </si>
  <si>
    <t>3CT
230329</t>
  </si>
  <si>
    <t>3CST
248354</t>
  </si>
  <si>
    <t>3CT
248117 </t>
  </si>
  <si>
    <t>3CST
248366</t>
  </si>
  <si>
    <t>3CT
175247</t>
  </si>
  <si>
    <t>3CST
175635</t>
  </si>
  <si>
    <t>3CT
902908</t>
  </si>
  <si>
    <t>3CST
248358</t>
  </si>
  <si>
    <t>3CT
248121 </t>
  </si>
  <si>
    <t>3CST
248367</t>
  </si>
  <si>
    <t>3CST
248370</t>
  </si>
  <si>
    <t>3CT
248134 </t>
  </si>
  <si>
    <t>3CST
248380</t>
  </si>
  <si>
    <t>3CT
248144 </t>
  </si>
  <si>
    <t>3CST
248393</t>
  </si>
  <si>
    <t>3CT
248125 </t>
  </si>
  <si>
    <t>3CST
248371</t>
  </si>
  <si>
    <t>3CT
248135 </t>
  </si>
  <si>
    <t>3CST
248381</t>
  </si>
  <si>
    <t>3CT
248147 </t>
  </si>
  <si>
    <t>3CST
248394</t>
  </si>
  <si>
    <t>3CT
248127 </t>
  </si>
  <si>
    <t>3CST
248372</t>
  </si>
  <si>
    <t>3CT
248136 </t>
  </si>
  <si>
    <t>3CST
248382</t>
  </si>
  <si>
    <t>3CT
248149 </t>
  </si>
  <si>
    <t>3CST
248397</t>
  </si>
  <si>
    <t>3CT
248128 </t>
  </si>
  <si>
    <t>3CST
248373</t>
  </si>
  <si>
    <t>3CT
248138 </t>
  </si>
  <si>
    <t>3CST
248383</t>
  </si>
  <si>
    <t>3CT
248152 </t>
  </si>
  <si>
    <t>3CST
248398</t>
  </si>
  <si>
    <t>3CT
248129 </t>
  </si>
  <si>
    <t>3CST
248374</t>
  </si>
  <si>
    <t>3CT
248139 </t>
  </si>
  <si>
    <t>3CST
248385</t>
  </si>
  <si>
    <t>3CT
248153 </t>
  </si>
  <si>
    <t>3CST
248623</t>
  </si>
  <si>
    <t>3CT
248130 </t>
  </si>
  <si>
    <t>3CST
248377</t>
  </si>
  <si>
    <t>3CT
248141 </t>
  </si>
  <si>
    <t>3CST
248387</t>
  </si>
  <si>
    <t>3CT
248154 </t>
  </si>
  <si>
    <t>3CST
248624</t>
  </si>
  <si>
    <t>3CT
248131 </t>
  </si>
  <si>
    <t>3CST
248378</t>
  </si>
  <si>
    <t>3CT
248142 </t>
  </si>
  <si>
    <t>3CST
248390</t>
  </si>
  <si>
    <t>3CT
248159 </t>
  </si>
  <si>
    <t>3CST
248625</t>
  </si>
  <si>
    <t>3CT
248133 </t>
  </si>
  <si>
    <t>3CST
248379</t>
  </si>
  <si>
    <t>3CT
248143 </t>
  </si>
  <si>
    <t>3CST
248392</t>
  </si>
  <si>
    <t>3CT
248160 </t>
  </si>
  <si>
    <t>3CST
248627</t>
  </si>
  <si>
    <t>3CST
248628</t>
  </si>
  <si>
    <t>3CT
248172 </t>
  </si>
  <si>
    <t>3CST
248645</t>
  </si>
  <si>
    <t>3CT
248183 </t>
  </si>
  <si>
    <t>3CST
248656</t>
  </si>
  <si>
    <t>3CT
248162 </t>
  </si>
  <si>
    <t>3CST
248630</t>
  </si>
  <si>
    <t>3CT
248175 </t>
  </si>
  <si>
    <t>3CST
248647</t>
  </si>
  <si>
    <t>3CT
248186 </t>
  </si>
  <si>
    <t>3CST
248659</t>
  </si>
  <si>
    <t>3CT
248164 </t>
  </si>
  <si>
    <t>3CST
248631</t>
  </si>
  <si>
    <t>3CT
248176 </t>
  </si>
  <si>
    <t>3CST
248648</t>
  </si>
  <si>
    <t>3CT
248187 </t>
  </si>
  <si>
    <t>3CST
248662</t>
  </si>
  <si>
    <t>3CT
248165 </t>
  </si>
  <si>
    <t>3CST
248633</t>
  </si>
  <si>
    <t>3CT
248177 </t>
  </si>
  <si>
    <t>3CST
248649</t>
  </si>
  <si>
    <t>3CT
248188 </t>
  </si>
  <si>
    <t>3CST
248663</t>
  </si>
  <si>
    <t>3CT
248167 </t>
  </si>
  <si>
    <t>3CST
248634</t>
  </si>
  <si>
    <t>3CT
248178 </t>
  </si>
  <si>
    <t>3CST
248651</t>
  </si>
  <si>
    <t>3CT
248189 </t>
  </si>
  <si>
    <t>3CST
256268</t>
  </si>
  <si>
    <t>3CT
248168 </t>
  </si>
  <si>
    <t>3CST
248640</t>
  </si>
  <si>
    <t>3CT
248179 </t>
  </si>
  <si>
    <t>3CST
248653</t>
  </si>
  <si>
    <t>3CT
248190 </t>
  </si>
  <si>
    <t>3CST
257692</t>
  </si>
  <si>
    <t>3CT
248169 </t>
  </si>
  <si>
    <t>3CST
248641</t>
  </si>
  <si>
    <t>3CT
248180 </t>
  </si>
  <si>
    <t>3CST
248654</t>
  </si>
  <si>
    <t>3CT
248192 </t>
  </si>
  <si>
    <t>3CST
258371</t>
  </si>
  <si>
    <t>3CT
248171 </t>
  </si>
  <si>
    <t>3CST
248643</t>
  </si>
  <si>
    <t>3CT
248181 </t>
  </si>
  <si>
    <t>3CST
248655</t>
  </si>
  <si>
    <t>3CT
248193 </t>
  </si>
  <si>
    <t>3CST
258519</t>
  </si>
  <si>
    <t>3CST
270915</t>
  </si>
  <si>
    <t>3CT
248404 </t>
  </si>
  <si>
    <t>3ET
106825</t>
  </si>
  <si>
    <t>3CT
248416 </t>
  </si>
  <si>
    <t>3ET
236382</t>
  </si>
  <si>
    <t>3CT
248194 </t>
  </si>
  <si>
    <t>3CST
792021</t>
  </si>
  <si>
    <t>3CT
248405 </t>
  </si>
  <si>
    <t>3ET
148135</t>
  </si>
  <si>
    <t>3CT
248417 </t>
  </si>
  <si>
    <t>3ET
236398</t>
  </si>
  <si>
    <t>3CT
248198 </t>
  </si>
  <si>
    <t>3CST
861792</t>
  </si>
  <si>
    <t>3CT
248406 </t>
  </si>
  <si>
    <t>3ET
151569</t>
  </si>
  <si>
    <t>3CT
248419 </t>
  </si>
  <si>
    <t>3ET
248211</t>
  </si>
  <si>
    <t>3CT
248199 </t>
  </si>
  <si>
    <t xml:space="preserve">3CST
</t>
  </si>
  <si>
    <t>3CT
248408 </t>
  </si>
  <si>
    <t>3ET
171592</t>
  </si>
  <si>
    <t>3CT
248420 </t>
  </si>
  <si>
    <t>3ET
261785</t>
  </si>
  <si>
    <t>3CT
248202 </t>
  </si>
  <si>
    <t>3CT
248409 </t>
  </si>
  <si>
    <t>3ET
174159</t>
  </si>
  <si>
    <t>3CT
248421 </t>
  </si>
  <si>
    <t>3ET
262321</t>
  </si>
  <si>
    <t>3CT
248203 </t>
  </si>
  <si>
    <t>3CT
248411 </t>
  </si>
  <si>
    <t>3ET
177331</t>
  </si>
  <si>
    <t>3CT
248422 </t>
  </si>
  <si>
    <t>3ET
789154</t>
  </si>
  <si>
    <t>3CT
248204 </t>
  </si>
  <si>
    <t>3CT
248412 </t>
  </si>
  <si>
    <t>3ET
178399</t>
  </si>
  <si>
    <t>3CT
248424 </t>
  </si>
  <si>
    <t>3ET
862013</t>
  </si>
  <si>
    <t>3CT
248399 </t>
  </si>
  <si>
    <t>3CT
248413 </t>
  </si>
  <si>
    <t>3ET
233140</t>
  </si>
  <si>
    <t>3CT
248429 </t>
  </si>
  <si>
    <t>3ET
 861597</t>
  </si>
  <si>
    <t>3ET
248240 </t>
  </si>
  <si>
    <t>3CT
248488 </t>
  </si>
  <si>
    <t>3ET
248252 </t>
  </si>
  <si>
    <t>3FT
 862087</t>
  </si>
  <si>
    <t>3ET
248503 </t>
  </si>
  <si>
    <t>3CT
248478 </t>
  </si>
  <si>
    <t>3ET
248242 </t>
  </si>
  <si>
    <t>3CT
248490 </t>
  </si>
  <si>
    <t>3ET
248253 </t>
  </si>
  <si>
    <t>3FT
248258 </t>
  </si>
  <si>
    <t>3ET
248505 </t>
  </si>
  <si>
    <t>3CT
248481 </t>
  </si>
  <si>
    <t>3ET
248243 </t>
  </si>
  <si>
    <t>3CT
248495 </t>
  </si>
  <si>
    <t>3ET
248254 </t>
  </si>
  <si>
    <t>3FT
248259 </t>
  </si>
  <si>
    <t>3ET
248506 </t>
  </si>
  <si>
    <t>3CT
248482 </t>
  </si>
  <si>
    <t>3ET
248245 </t>
  </si>
  <si>
    <t xml:space="preserve">3CT
</t>
  </si>
  <si>
    <t>3ET
248255 </t>
  </si>
  <si>
    <t>3FT
248261 </t>
  </si>
  <si>
    <t>3ET
248507 </t>
  </si>
  <si>
    <t>3CT
248483 </t>
  </si>
  <si>
    <t>3ET
248246 </t>
  </si>
  <si>
    <t>3ET
862062</t>
  </si>
  <si>
    <t>3ET
248256 </t>
  </si>
  <si>
    <t>3FT
248263 </t>
  </si>
  <si>
    <t>3ET
248511 </t>
  </si>
  <si>
    <t>3CT
248486 </t>
  </si>
  <si>
    <t>3ET
248250 </t>
  </si>
  <si>
    <t>3ET
248530 </t>
  </si>
  <si>
    <t>3ET
248500 </t>
  </si>
  <si>
    <t>3FT
248267 </t>
  </si>
  <si>
    <t>3ET
248512 </t>
  </si>
  <si>
    <t>3CT
248487 </t>
  </si>
  <si>
    <t>3ET
248251 </t>
  </si>
  <si>
    <t>3ET
248502 </t>
  </si>
  <si>
    <t>3FT
248273 </t>
  </si>
  <si>
    <t>3ET
248513 </t>
  </si>
  <si>
    <t>3FT
248275 </t>
  </si>
  <si>
    <t>3ET
248524 </t>
  </si>
  <si>
    <t>3FT
248284 </t>
  </si>
  <si>
    <t>3ET
248537 </t>
  </si>
  <si>
    <t>3FT
248302 </t>
  </si>
  <si>
    <t>3ET
248514 </t>
  </si>
  <si>
    <t>3FT
248276 </t>
  </si>
  <si>
    <t>3ET
248525 </t>
  </si>
  <si>
    <t>3FT
248287 </t>
  </si>
  <si>
    <t>3ET
248538 </t>
  </si>
  <si>
    <t>3FT
248553 </t>
  </si>
  <si>
    <t>3ET
248517 </t>
  </si>
  <si>
    <t>3FT
248278 </t>
  </si>
  <si>
    <t>3ET
248526 </t>
  </si>
  <si>
    <t>3FT
248288 </t>
  </si>
  <si>
    <t>3ET
248544 </t>
  </si>
  <si>
    <t>3FT
248554 </t>
  </si>
  <si>
    <t>3ET
248518 </t>
  </si>
  <si>
    <t>3FT
248280 </t>
  </si>
  <si>
    <t>3ET
248527 </t>
  </si>
  <si>
    <t>3FT
248292 </t>
  </si>
  <si>
    <t>3ET
248546 </t>
  </si>
  <si>
    <t>3FT
248555 </t>
  </si>
  <si>
    <t>3ET
248519 </t>
  </si>
  <si>
    <t>3FT
248281 </t>
  </si>
  <si>
    <t>3ET
248532 </t>
  </si>
  <si>
    <t>3FT
248293 </t>
  </si>
  <si>
    <t>3ET
248547 </t>
  </si>
  <si>
    <t>3FT
248557 </t>
  </si>
  <si>
    <t>3ET
248520 </t>
  </si>
  <si>
    <t>3FT
248282 </t>
  </si>
  <si>
    <t>3ET
248533 </t>
  </si>
  <si>
    <t>3FT
248294 </t>
  </si>
  <si>
    <t>3ET
270304 </t>
  </si>
  <si>
    <t>3FT
248558 </t>
  </si>
  <si>
    <t>3ET
248521 </t>
  </si>
  <si>
    <t>3FT
248283 </t>
  </si>
  <si>
    <t>3ET
248535 </t>
  </si>
  <si>
    <t>3FT
248299 </t>
  </si>
  <si>
    <t>3ET
765883 </t>
  </si>
  <si>
    <t>3FT
248562 </t>
  </si>
  <si>
    <t>3FT
248569 </t>
  </si>
  <si>
    <t>3RAC
248307 </t>
  </si>
  <si>
    <t>3CT
765735</t>
  </si>
  <si>
    <t>3RAC
248321 </t>
  </si>
  <si>
    <t>3RAC
248591 </t>
  </si>
  <si>
    <t>3RAC
248310</t>
  </si>
  <si>
    <t>3FT
248570 </t>
  </si>
  <si>
    <t>3RAC
248309 </t>
  </si>
  <si>
    <t>3CT
861823</t>
  </si>
  <si>
    <t>3RAC
248322 </t>
  </si>
  <si>
    <t>3RAC
248609 </t>
  </si>
  <si>
    <t>3RAC
248319</t>
  </si>
  <si>
    <t>3FT
248571 </t>
  </si>
  <si>
    <t>3RAC
248311 </t>
  </si>
  <si>
    <t>3CT
248115 </t>
  </si>
  <si>
    <t>3RAC
248325 </t>
  </si>
  <si>
    <t>3RAC
248611 </t>
  </si>
  <si>
    <t>3RAC
 862114</t>
  </si>
  <si>
    <t>3FT
248572 </t>
  </si>
  <si>
    <t>3RAC
248313 </t>
  </si>
  <si>
    <t>3CT
248197 </t>
  </si>
  <si>
    <t>3RAC
248326 </t>
  </si>
  <si>
    <t>3RAC
248617 </t>
  </si>
  <si>
    <t>3RAC
248304 </t>
  </si>
  <si>
    <t>3FT
248575 </t>
  </si>
  <si>
    <t>3RAC
248314 </t>
  </si>
  <si>
    <t>3CT
248415 </t>
  </si>
  <si>
    <t>3RAC
248343 </t>
  </si>
  <si>
    <t>3RAC
248618 </t>
  </si>
  <si>
    <t>3RAC
248305 </t>
  </si>
  <si>
    <t>3FT
175682</t>
  </si>
  <si>
    <t>3RAC
248316 </t>
  </si>
  <si>
    <t>3RAC
248584 </t>
  </si>
  <si>
    <t>3RAC
861731 </t>
  </si>
  <si>
    <t>3RAC
248306 </t>
  </si>
  <si>
    <t>3FT
176439</t>
  </si>
  <si>
    <t>3RAC
248320 </t>
  </si>
  <si>
    <t>3RAC
248588 </t>
  </si>
  <si>
    <t>3RAC
862135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</si>
</sst>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name val="Times New Roman"/>
      <family val="1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Times New Roman"/>
      <family val="1"/>
    </font>
    <font>
      <sz val="12"/>
      <color rgb="FF444444"/>
      <name val="Verdana"/>
      <family val="2"/>
    </font>
    <font>
      <sz val="10"/>
      <color theme="1"/>
      <name val="Nikosh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7F7A1-138D-47A8-87B4-510FE3AF8149}">
  <dimension ref="A1:P15"/>
  <sheetViews>
    <sheetView zoomScale="55" zoomScaleNormal="55" workbookViewId="0">
      <selection activeCell="B3" sqref="B3:G10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32.450000000000003" customHeight="1" x14ac:dyDescent="0.25">
      <c r="A1" s="23" t="s">
        <v>1</v>
      </c>
      <c r="B1" s="24"/>
      <c r="C1" s="3">
        <f>K13</f>
        <v>115</v>
      </c>
      <c r="D1" s="23" t="s">
        <v>3</v>
      </c>
      <c r="E1" s="24"/>
      <c r="F1" s="23">
        <f>K12</f>
        <v>47</v>
      </c>
      <c r="G1" s="24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2" t="s">
        <v>4</v>
      </c>
      <c r="K2" s="13" t="s">
        <v>10</v>
      </c>
      <c r="L2" s="9" t="s">
        <v>11</v>
      </c>
      <c r="M2" s="13" t="s">
        <v>10</v>
      </c>
      <c r="N2" s="9" t="s">
        <v>11</v>
      </c>
      <c r="O2" s="13" t="s">
        <v>10</v>
      </c>
      <c r="P2" s="9" t="s">
        <v>11</v>
      </c>
    </row>
    <row r="3" spans="1:16" ht="79.900000000000006" customHeight="1" x14ac:dyDescent="0.25">
      <c r="A3" s="2">
        <v>1</v>
      </c>
      <c r="B3" s="6" t="s">
        <v>2</v>
      </c>
      <c r="C3" s="1" t="s">
        <v>245</v>
      </c>
      <c r="D3" s="1" t="s">
        <v>246</v>
      </c>
      <c r="E3" s="1" t="s">
        <v>247</v>
      </c>
      <c r="F3" s="1" t="s">
        <v>248</v>
      </c>
      <c r="G3" s="1" t="s">
        <v>249</v>
      </c>
      <c r="J3" s="12">
        <v>1</v>
      </c>
      <c r="K3" s="7"/>
      <c r="L3" s="8">
        <v>168148</v>
      </c>
      <c r="M3" s="8">
        <v>175642</v>
      </c>
      <c r="N3" s="8">
        <v>175643</v>
      </c>
      <c r="O3" s="11" t="s">
        <v>12</v>
      </c>
      <c r="P3" s="8">
        <v>248360</v>
      </c>
    </row>
    <row r="4" spans="1:16" ht="79.900000000000006" customHeight="1" x14ac:dyDescent="0.25">
      <c r="A4" s="2">
        <v>2</v>
      </c>
      <c r="B4" s="1" t="s">
        <v>250</v>
      </c>
      <c r="C4" s="1" t="s">
        <v>251</v>
      </c>
      <c r="D4" s="1" t="s">
        <v>252</v>
      </c>
      <c r="E4" s="1" t="s">
        <v>253</v>
      </c>
      <c r="F4" s="1" t="s">
        <v>254</v>
      </c>
      <c r="G4" s="1" t="s">
        <v>255</v>
      </c>
      <c r="J4" s="12">
        <v>2</v>
      </c>
      <c r="K4" s="8">
        <v>153712</v>
      </c>
      <c r="L4" s="8">
        <v>170513</v>
      </c>
      <c r="M4" s="8">
        <v>177761</v>
      </c>
      <c r="N4" s="8">
        <v>175726</v>
      </c>
      <c r="O4" s="8" t="s">
        <v>13</v>
      </c>
      <c r="P4" s="8">
        <v>248361</v>
      </c>
    </row>
    <row r="5" spans="1:16" ht="79.900000000000006" customHeight="1" x14ac:dyDescent="0.25">
      <c r="A5" s="2">
        <v>3</v>
      </c>
      <c r="B5" s="1" t="s">
        <v>256</v>
      </c>
      <c r="C5" s="1" t="s">
        <v>257</v>
      </c>
      <c r="D5" s="1" t="s">
        <v>258</v>
      </c>
      <c r="E5" s="1" t="s">
        <v>259</v>
      </c>
      <c r="F5" s="1" t="s">
        <v>260</v>
      </c>
      <c r="G5" s="1" t="s">
        <v>261</v>
      </c>
      <c r="J5" s="12">
        <v>3</v>
      </c>
      <c r="K5" s="8">
        <v>167591</v>
      </c>
      <c r="L5" s="8">
        <v>172174</v>
      </c>
      <c r="M5" s="8">
        <v>178567</v>
      </c>
      <c r="N5" s="8">
        <v>176648</v>
      </c>
      <c r="O5" s="8" t="s">
        <v>14</v>
      </c>
      <c r="P5" s="8">
        <v>248362</v>
      </c>
    </row>
    <row r="6" spans="1:16" ht="79.900000000000006" customHeight="1" x14ac:dyDescent="0.25">
      <c r="A6" s="2">
        <v>4</v>
      </c>
      <c r="B6" s="1" t="s">
        <v>262</v>
      </c>
      <c r="C6" s="1" t="s">
        <v>263</v>
      </c>
      <c r="D6" s="1" t="s">
        <v>264</v>
      </c>
      <c r="E6" s="1" t="s">
        <v>265</v>
      </c>
      <c r="F6" s="1" t="s">
        <v>266</v>
      </c>
      <c r="G6" s="1" t="s">
        <v>267</v>
      </c>
      <c r="J6" s="12">
        <v>4</v>
      </c>
      <c r="K6" s="8">
        <v>169161</v>
      </c>
      <c r="L6" s="8">
        <v>172276</v>
      </c>
      <c r="M6" s="8">
        <v>187192</v>
      </c>
      <c r="N6" s="8">
        <v>176910</v>
      </c>
      <c r="O6" s="8" t="s">
        <v>15</v>
      </c>
      <c r="P6" s="8">
        <v>248363</v>
      </c>
    </row>
    <row r="7" spans="1:16" ht="79.900000000000006" customHeight="1" x14ac:dyDescent="0.25">
      <c r="A7" s="2">
        <v>5</v>
      </c>
      <c r="B7" s="1" t="s">
        <v>268</v>
      </c>
      <c r="C7" s="1" t="s">
        <v>269</v>
      </c>
      <c r="D7" s="1" t="s">
        <v>270</v>
      </c>
      <c r="E7" s="1" t="s">
        <v>271</v>
      </c>
      <c r="F7" s="1" t="s">
        <v>272</v>
      </c>
      <c r="G7" s="1" t="s">
        <v>273</v>
      </c>
      <c r="J7" s="12">
        <v>5</v>
      </c>
      <c r="K7" s="8">
        <v>170880</v>
      </c>
      <c r="L7" s="8">
        <v>173286</v>
      </c>
      <c r="M7" s="8">
        <v>193125</v>
      </c>
      <c r="N7" s="8">
        <v>236575</v>
      </c>
      <c r="O7" s="8" t="s">
        <v>16</v>
      </c>
      <c r="P7" s="8">
        <v>248364</v>
      </c>
    </row>
    <row r="8" spans="1:16" ht="79.900000000000006" customHeight="1" x14ac:dyDescent="0.25">
      <c r="A8" s="2">
        <v>6</v>
      </c>
      <c r="B8" s="1" t="s">
        <v>274</v>
      </c>
      <c r="C8" s="1" t="s">
        <v>275</v>
      </c>
      <c r="D8" s="1" t="s">
        <v>276</v>
      </c>
      <c r="E8" s="1" t="s">
        <v>277</v>
      </c>
      <c r="F8" s="1" t="s">
        <v>278</v>
      </c>
      <c r="G8" s="1" t="s">
        <v>279</v>
      </c>
      <c r="J8" s="12">
        <v>6</v>
      </c>
      <c r="K8" s="8">
        <v>172408</v>
      </c>
      <c r="L8" s="8">
        <v>173701</v>
      </c>
      <c r="M8" s="8">
        <v>202077</v>
      </c>
      <c r="N8" s="8">
        <v>248353</v>
      </c>
      <c r="O8" s="8" t="s">
        <v>17</v>
      </c>
      <c r="P8" s="8">
        <v>248365</v>
      </c>
    </row>
    <row r="9" spans="1:16" ht="79.900000000000006" customHeight="1" x14ac:dyDescent="0.25">
      <c r="A9" s="2">
        <v>7</v>
      </c>
      <c r="B9" s="1" t="s">
        <v>280</v>
      </c>
      <c r="C9" s="1" t="s">
        <v>281</v>
      </c>
      <c r="D9" s="1" t="s">
        <v>282</v>
      </c>
      <c r="E9" s="1" t="s">
        <v>283</v>
      </c>
      <c r="F9" s="1" t="s">
        <v>284</v>
      </c>
      <c r="G9" s="1" t="s">
        <v>285</v>
      </c>
      <c r="J9" s="12">
        <v>7</v>
      </c>
      <c r="K9" s="8">
        <v>173337</v>
      </c>
      <c r="L9" s="8">
        <v>174196</v>
      </c>
      <c r="M9" s="8">
        <v>230329</v>
      </c>
      <c r="N9" s="8">
        <v>248354</v>
      </c>
      <c r="O9" s="8" t="s">
        <v>18</v>
      </c>
      <c r="P9" s="8">
        <v>248366</v>
      </c>
    </row>
    <row r="10" spans="1:16" ht="79.900000000000006" customHeight="1" x14ac:dyDescent="0.25">
      <c r="A10" s="2">
        <v>8</v>
      </c>
      <c r="B10" s="1" t="s">
        <v>286</v>
      </c>
      <c r="C10" s="1" t="s">
        <v>287</v>
      </c>
      <c r="D10" s="1" t="s">
        <v>288</v>
      </c>
      <c r="E10" s="1" t="s">
        <v>289</v>
      </c>
      <c r="F10" s="1" t="s">
        <v>290</v>
      </c>
      <c r="G10" s="1" t="s">
        <v>291</v>
      </c>
      <c r="J10" s="12">
        <v>8</v>
      </c>
      <c r="K10" s="8">
        <v>175247</v>
      </c>
      <c r="L10" s="8">
        <v>175635</v>
      </c>
      <c r="M10" s="8">
        <v>902908</v>
      </c>
      <c r="N10" s="8">
        <v>248358</v>
      </c>
      <c r="O10" s="8" t="s">
        <v>19</v>
      </c>
      <c r="P10" s="8">
        <v>248367</v>
      </c>
    </row>
    <row r="11" spans="1:16" ht="15.75" x14ac:dyDescent="0.25">
      <c r="J11" s="12" t="s">
        <v>5</v>
      </c>
      <c r="K11" s="25">
        <f>COUNTA(K3:M10)</f>
        <v>23</v>
      </c>
      <c r="L11" s="25"/>
      <c r="M11" s="25"/>
      <c r="N11" s="25">
        <f>COUNTA(N3:P10)</f>
        <v>24</v>
      </c>
      <c r="O11" s="25"/>
      <c r="P11" s="25"/>
    </row>
    <row r="12" spans="1:16" ht="14.45" customHeight="1" x14ac:dyDescent="0.25">
      <c r="J12" s="12" t="s">
        <v>6</v>
      </c>
      <c r="K12" s="22">
        <f>K11+N11</f>
        <v>47</v>
      </c>
      <c r="L12" s="22"/>
      <c r="M12" s="22"/>
      <c r="N12" s="22"/>
      <c r="O12" s="22"/>
      <c r="P12" s="22"/>
    </row>
    <row r="13" spans="1:16" ht="22.15" customHeight="1" x14ac:dyDescent="0.25">
      <c r="J13" s="5" t="s">
        <v>7</v>
      </c>
      <c r="K13" s="22">
        <v>115</v>
      </c>
      <c r="L13" s="22"/>
      <c r="M13" s="22"/>
      <c r="N13" s="22"/>
      <c r="O13" s="22"/>
      <c r="P13" s="22"/>
    </row>
    <row r="14" spans="1:16" ht="25.15" customHeight="1" x14ac:dyDescent="0.25"/>
    <row r="15" spans="1:16" ht="25.15" customHeight="1" x14ac:dyDescent="0.25"/>
  </sheetData>
  <mergeCells count="7">
    <mergeCell ref="K13:P13"/>
    <mergeCell ref="F1:G1"/>
    <mergeCell ref="A1:B1"/>
    <mergeCell ref="D1:E1"/>
    <mergeCell ref="K11:M11"/>
    <mergeCell ref="N11:P11"/>
    <mergeCell ref="K12:P12"/>
  </mergeCells>
  <pageMargins left="0.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61D-DF48-4971-8BFB-979D69FA84CF}">
  <dimension ref="A1:P15"/>
  <sheetViews>
    <sheetView zoomScale="55" zoomScaleNormal="55" workbookViewId="0">
      <selection activeCell="B3" sqref="B3:G10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32.450000000000003" customHeight="1" x14ac:dyDescent="0.25">
      <c r="A1" s="23" t="s">
        <v>1</v>
      </c>
      <c r="B1" s="24"/>
      <c r="C1" s="4">
        <f>K13</f>
        <v>213</v>
      </c>
      <c r="D1" s="23" t="s">
        <v>3</v>
      </c>
      <c r="E1" s="24"/>
      <c r="F1" s="23">
        <f>K12</f>
        <v>47</v>
      </c>
      <c r="G1" s="24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2" t="s">
        <v>4</v>
      </c>
      <c r="K2" s="13" t="s">
        <v>10</v>
      </c>
      <c r="L2" s="9" t="s">
        <v>11</v>
      </c>
      <c r="M2" s="13" t="s">
        <v>10</v>
      </c>
      <c r="N2" s="9" t="s">
        <v>11</v>
      </c>
      <c r="O2" s="13" t="s">
        <v>10</v>
      </c>
      <c r="P2" s="9" t="s">
        <v>11</v>
      </c>
    </row>
    <row r="3" spans="1:16" ht="79.900000000000006" customHeight="1" x14ac:dyDescent="0.25">
      <c r="A3" s="2">
        <v>1</v>
      </c>
      <c r="B3" s="6" t="s">
        <v>2</v>
      </c>
      <c r="C3" s="1" t="s">
        <v>292</v>
      </c>
      <c r="D3" s="1" t="s">
        <v>293</v>
      </c>
      <c r="E3" s="1" t="s">
        <v>294</v>
      </c>
      <c r="F3" s="1" t="s">
        <v>295</v>
      </c>
      <c r="G3" s="1" t="s">
        <v>296</v>
      </c>
      <c r="J3" s="12">
        <v>1</v>
      </c>
      <c r="K3" s="7"/>
      <c r="L3" s="8">
        <v>248370</v>
      </c>
      <c r="M3" s="8" t="s">
        <v>20</v>
      </c>
      <c r="N3" s="8">
        <v>248380</v>
      </c>
      <c r="O3" s="8" t="s">
        <v>21</v>
      </c>
      <c r="P3" s="8">
        <v>248393</v>
      </c>
    </row>
    <row r="4" spans="1:16" ht="79.900000000000006" customHeight="1" x14ac:dyDescent="0.25">
      <c r="A4" s="2">
        <v>2</v>
      </c>
      <c r="B4" s="1" t="s">
        <v>297</v>
      </c>
      <c r="C4" s="1" t="s">
        <v>298</v>
      </c>
      <c r="D4" s="1" t="s">
        <v>299</v>
      </c>
      <c r="E4" s="1" t="s">
        <v>300</v>
      </c>
      <c r="F4" s="1" t="s">
        <v>301</v>
      </c>
      <c r="G4" s="1" t="s">
        <v>302</v>
      </c>
      <c r="J4" s="12">
        <v>2</v>
      </c>
      <c r="K4" s="8" t="s">
        <v>22</v>
      </c>
      <c r="L4" s="8">
        <v>248371</v>
      </c>
      <c r="M4" s="8" t="s">
        <v>23</v>
      </c>
      <c r="N4" s="8">
        <v>248381</v>
      </c>
      <c r="O4" s="8" t="s">
        <v>24</v>
      </c>
      <c r="P4" s="8">
        <v>248394</v>
      </c>
    </row>
    <row r="5" spans="1:16" ht="79.900000000000006" customHeight="1" x14ac:dyDescent="0.25">
      <c r="A5" s="2">
        <v>3</v>
      </c>
      <c r="B5" s="1" t="s">
        <v>303</v>
      </c>
      <c r="C5" s="1" t="s">
        <v>304</v>
      </c>
      <c r="D5" s="1" t="s">
        <v>305</v>
      </c>
      <c r="E5" s="1" t="s">
        <v>306</v>
      </c>
      <c r="F5" s="1" t="s">
        <v>307</v>
      </c>
      <c r="G5" s="1" t="s">
        <v>308</v>
      </c>
      <c r="J5" s="12">
        <v>3</v>
      </c>
      <c r="K5" s="8" t="s">
        <v>25</v>
      </c>
      <c r="L5" s="8">
        <v>248372</v>
      </c>
      <c r="M5" s="8" t="s">
        <v>26</v>
      </c>
      <c r="N5" s="8">
        <v>248382</v>
      </c>
      <c r="O5" s="8" t="s">
        <v>27</v>
      </c>
      <c r="P5" s="8">
        <v>248397</v>
      </c>
    </row>
    <row r="6" spans="1:16" ht="79.900000000000006" customHeight="1" x14ac:dyDescent="0.25">
      <c r="A6" s="2">
        <v>4</v>
      </c>
      <c r="B6" s="1" t="s">
        <v>309</v>
      </c>
      <c r="C6" s="1" t="s">
        <v>310</v>
      </c>
      <c r="D6" s="1" t="s">
        <v>311</v>
      </c>
      <c r="E6" s="1" t="s">
        <v>312</v>
      </c>
      <c r="F6" s="1" t="s">
        <v>313</v>
      </c>
      <c r="G6" s="1" t="s">
        <v>314</v>
      </c>
      <c r="J6" s="12">
        <v>4</v>
      </c>
      <c r="K6" s="8" t="s">
        <v>28</v>
      </c>
      <c r="L6" s="8">
        <v>248373</v>
      </c>
      <c r="M6" s="8" t="s">
        <v>29</v>
      </c>
      <c r="N6" s="8">
        <v>248383</v>
      </c>
      <c r="O6" s="8" t="s">
        <v>30</v>
      </c>
      <c r="P6" s="8">
        <v>248398</v>
      </c>
    </row>
    <row r="7" spans="1:16" ht="79.900000000000006" customHeight="1" x14ac:dyDescent="0.25">
      <c r="A7" s="2">
        <v>5</v>
      </c>
      <c r="B7" s="1" t="s">
        <v>315</v>
      </c>
      <c r="C7" s="1" t="s">
        <v>316</v>
      </c>
      <c r="D7" s="1" t="s">
        <v>317</v>
      </c>
      <c r="E7" s="1" t="s">
        <v>318</v>
      </c>
      <c r="F7" s="1" t="s">
        <v>319</v>
      </c>
      <c r="G7" s="1" t="s">
        <v>320</v>
      </c>
      <c r="J7" s="12">
        <v>5</v>
      </c>
      <c r="K7" s="8" t="s">
        <v>31</v>
      </c>
      <c r="L7" s="8">
        <v>248374</v>
      </c>
      <c r="M7" s="8" t="s">
        <v>32</v>
      </c>
      <c r="N7" s="8">
        <v>248385</v>
      </c>
      <c r="O7" s="8" t="s">
        <v>33</v>
      </c>
      <c r="P7" s="8">
        <v>248623</v>
      </c>
    </row>
    <row r="8" spans="1:16" ht="79.900000000000006" customHeight="1" x14ac:dyDescent="0.25">
      <c r="A8" s="2">
        <v>6</v>
      </c>
      <c r="B8" s="1" t="s">
        <v>321</v>
      </c>
      <c r="C8" s="1" t="s">
        <v>322</v>
      </c>
      <c r="D8" s="1" t="s">
        <v>323</v>
      </c>
      <c r="E8" s="1" t="s">
        <v>324</v>
      </c>
      <c r="F8" s="1" t="s">
        <v>325</v>
      </c>
      <c r="G8" s="1" t="s">
        <v>326</v>
      </c>
      <c r="J8" s="12">
        <v>6</v>
      </c>
      <c r="K8" s="8" t="s">
        <v>34</v>
      </c>
      <c r="L8" s="8">
        <v>248377</v>
      </c>
      <c r="M8" s="8" t="s">
        <v>35</v>
      </c>
      <c r="N8" s="8">
        <v>248387</v>
      </c>
      <c r="O8" s="8" t="s">
        <v>36</v>
      </c>
      <c r="P8" s="8">
        <v>248624</v>
      </c>
    </row>
    <row r="9" spans="1:16" ht="79.900000000000006" customHeight="1" x14ac:dyDescent="0.25">
      <c r="A9" s="2">
        <v>7</v>
      </c>
      <c r="B9" s="1" t="s">
        <v>327</v>
      </c>
      <c r="C9" s="1" t="s">
        <v>328</v>
      </c>
      <c r="D9" s="1" t="s">
        <v>329</v>
      </c>
      <c r="E9" s="1" t="s">
        <v>330</v>
      </c>
      <c r="F9" s="1" t="s">
        <v>331</v>
      </c>
      <c r="G9" s="1" t="s">
        <v>332</v>
      </c>
      <c r="J9" s="12">
        <v>7</v>
      </c>
      <c r="K9" s="8" t="s">
        <v>37</v>
      </c>
      <c r="L9" s="8">
        <v>248378</v>
      </c>
      <c r="M9" s="8" t="s">
        <v>38</v>
      </c>
      <c r="N9" s="8">
        <v>248390</v>
      </c>
      <c r="O9" s="8" t="s">
        <v>39</v>
      </c>
      <c r="P9" s="8">
        <v>248625</v>
      </c>
    </row>
    <row r="10" spans="1:16" ht="79.900000000000006" customHeight="1" x14ac:dyDescent="0.25">
      <c r="A10" s="2">
        <v>8</v>
      </c>
      <c r="B10" s="1" t="s">
        <v>333</v>
      </c>
      <c r="C10" s="1" t="s">
        <v>334</v>
      </c>
      <c r="D10" s="1" t="s">
        <v>335</v>
      </c>
      <c r="E10" s="1" t="s">
        <v>336</v>
      </c>
      <c r="F10" s="1" t="s">
        <v>337</v>
      </c>
      <c r="G10" s="1" t="s">
        <v>338</v>
      </c>
      <c r="J10" s="12">
        <v>8</v>
      </c>
      <c r="K10" s="8" t="s">
        <v>40</v>
      </c>
      <c r="L10" s="8">
        <v>248379</v>
      </c>
      <c r="M10" s="8" t="s">
        <v>41</v>
      </c>
      <c r="N10" s="8">
        <v>248392</v>
      </c>
      <c r="O10" s="8" t="s">
        <v>42</v>
      </c>
      <c r="P10" s="8">
        <v>248627</v>
      </c>
    </row>
    <row r="11" spans="1:16" ht="15.75" x14ac:dyDescent="0.25">
      <c r="J11" s="12" t="s">
        <v>5</v>
      </c>
      <c r="K11" s="25">
        <f>COUNTA(K3:M10)</f>
        <v>23</v>
      </c>
      <c r="L11" s="25"/>
      <c r="M11" s="25"/>
      <c r="N11" s="25">
        <f>COUNTA(N3:P10)</f>
        <v>24</v>
      </c>
      <c r="O11" s="25"/>
      <c r="P11" s="25"/>
    </row>
    <row r="12" spans="1:16" ht="14.45" customHeight="1" x14ac:dyDescent="0.25">
      <c r="J12" s="12" t="s">
        <v>6</v>
      </c>
      <c r="K12" s="22">
        <f>K11+N11</f>
        <v>47</v>
      </c>
      <c r="L12" s="22"/>
      <c r="M12" s="22"/>
      <c r="N12" s="22"/>
      <c r="O12" s="22"/>
      <c r="P12" s="22"/>
    </row>
    <row r="13" spans="1:16" ht="22.15" customHeight="1" x14ac:dyDescent="0.25">
      <c r="J13" s="5" t="s">
        <v>7</v>
      </c>
      <c r="K13" s="22">
        <v>213</v>
      </c>
      <c r="L13" s="22"/>
      <c r="M13" s="22"/>
      <c r="N13" s="22"/>
      <c r="O13" s="22"/>
      <c r="P13" s="22"/>
    </row>
    <row r="14" spans="1:16" ht="25.15" customHeight="1" x14ac:dyDescent="0.25"/>
    <row r="15" spans="1:16" ht="25.15" customHeight="1" x14ac:dyDescent="0.25"/>
  </sheetData>
  <mergeCells count="7">
    <mergeCell ref="K13:P13"/>
    <mergeCell ref="A1:B1"/>
    <mergeCell ref="F1:G1"/>
    <mergeCell ref="K11:M11"/>
    <mergeCell ref="N11:P11"/>
    <mergeCell ref="K12:P12"/>
    <mergeCell ref="D1:E1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2ADF-54C9-41CB-A24F-CF801D6D2A37}">
  <dimension ref="A1:P15"/>
  <sheetViews>
    <sheetView zoomScale="70" zoomScaleNormal="70" workbookViewId="0">
      <selection activeCell="B3" sqref="B3:G10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32.450000000000003" customHeight="1" x14ac:dyDescent="0.25">
      <c r="A1" s="23" t="s">
        <v>1</v>
      </c>
      <c r="B1" s="24"/>
      <c r="C1" s="4">
        <f>K13</f>
        <v>214</v>
      </c>
      <c r="D1" s="23" t="s">
        <v>3</v>
      </c>
      <c r="E1" s="24"/>
      <c r="F1" s="23">
        <f>K12</f>
        <v>47</v>
      </c>
      <c r="G1" s="24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2" t="s">
        <v>4</v>
      </c>
      <c r="K2" s="13" t="s">
        <v>10</v>
      </c>
      <c r="L2" s="9" t="s">
        <v>11</v>
      </c>
      <c r="M2" s="13" t="s">
        <v>10</v>
      </c>
      <c r="N2" s="9" t="s">
        <v>11</v>
      </c>
      <c r="O2" s="13" t="s">
        <v>10</v>
      </c>
      <c r="P2" s="9" t="s">
        <v>11</v>
      </c>
    </row>
    <row r="3" spans="1:16" ht="79.900000000000006" customHeight="1" x14ac:dyDescent="0.25">
      <c r="A3" s="2">
        <v>1</v>
      </c>
      <c r="B3" s="6" t="s">
        <v>2</v>
      </c>
      <c r="C3" s="1" t="s">
        <v>339</v>
      </c>
      <c r="D3" s="1" t="s">
        <v>340</v>
      </c>
      <c r="E3" s="1" t="s">
        <v>341</v>
      </c>
      <c r="F3" s="1" t="s">
        <v>342</v>
      </c>
      <c r="G3" s="1" t="s">
        <v>343</v>
      </c>
      <c r="J3" s="12">
        <v>1</v>
      </c>
      <c r="K3" s="7"/>
      <c r="L3" s="8">
        <v>248628</v>
      </c>
      <c r="M3" s="8" t="s">
        <v>50</v>
      </c>
      <c r="N3" s="8">
        <v>248645</v>
      </c>
      <c r="O3" s="8" t="s">
        <v>58</v>
      </c>
      <c r="P3" s="8">
        <v>248656</v>
      </c>
    </row>
    <row r="4" spans="1:16" ht="79.900000000000006" customHeight="1" x14ac:dyDescent="0.25">
      <c r="A4" s="2">
        <v>2</v>
      </c>
      <c r="B4" s="1" t="s">
        <v>344</v>
      </c>
      <c r="C4" s="1" t="s">
        <v>345</v>
      </c>
      <c r="D4" s="1" t="s">
        <v>346</v>
      </c>
      <c r="E4" s="1" t="s">
        <v>347</v>
      </c>
      <c r="F4" s="1" t="s">
        <v>348</v>
      </c>
      <c r="G4" s="1" t="s">
        <v>349</v>
      </c>
      <c r="J4" s="12">
        <v>2</v>
      </c>
      <c r="K4" s="8" t="s">
        <v>43</v>
      </c>
      <c r="L4" s="8">
        <v>248630</v>
      </c>
      <c r="M4" s="8" t="s">
        <v>51</v>
      </c>
      <c r="N4" s="8">
        <v>248647</v>
      </c>
      <c r="O4" s="8" t="s">
        <v>59</v>
      </c>
      <c r="P4" s="8">
        <v>248659</v>
      </c>
    </row>
    <row r="5" spans="1:16" ht="79.900000000000006" customHeight="1" x14ac:dyDescent="0.25">
      <c r="A5" s="2">
        <v>3</v>
      </c>
      <c r="B5" s="1" t="s">
        <v>350</v>
      </c>
      <c r="C5" s="1" t="s">
        <v>351</v>
      </c>
      <c r="D5" s="1" t="s">
        <v>352</v>
      </c>
      <c r="E5" s="1" t="s">
        <v>353</v>
      </c>
      <c r="F5" s="1" t="s">
        <v>354</v>
      </c>
      <c r="G5" s="1" t="s">
        <v>355</v>
      </c>
      <c r="J5" s="12">
        <v>3</v>
      </c>
      <c r="K5" s="8" t="s">
        <v>44</v>
      </c>
      <c r="L5" s="8">
        <v>248631</v>
      </c>
      <c r="M5" s="8" t="s">
        <v>52</v>
      </c>
      <c r="N5" s="8">
        <v>248648</v>
      </c>
      <c r="O5" s="8" t="s">
        <v>60</v>
      </c>
      <c r="P5" s="8">
        <v>248662</v>
      </c>
    </row>
    <row r="6" spans="1:16" ht="79.900000000000006" customHeight="1" x14ac:dyDescent="0.25">
      <c r="A6" s="2">
        <v>4</v>
      </c>
      <c r="B6" s="1" t="s">
        <v>356</v>
      </c>
      <c r="C6" s="1" t="s">
        <v>357</v>
      </c>
      <c r="D6" s="1" t="s">
        <v>358</v>
      </c>
      <c r="E6" s="1" t="s">
        <v>359</v>
      </c>
      <c r="F6" s="1" t="s">
        <v>360</v>
      </c>
      <c r="G6" s="1" t="s">
        <v>361</v>
      </c>
      <c r="J6" s="12">
        <v>4</v>
      </c>
      <c r="K6" s="8" t="s">
        <v>45</v>
      </c>
      <c r="L6" s="8">
        <v>248633</v>
      </c>
      <c r="M6" s="8" t="s">
        <v>53</v>
      </c>
      <c r="N6" s="8">
        <v>248649</v>
      </c>
      <c r="O6" s="8" t="s">
        <v>61</v>
      </c>
      <c r="P6" s="8">
        <v>248663</v>
      </c>
    </row>
    <row r="7" spans="1:16" ht="79.900000000000006" customHeight="1" x14ac:dyDescent="0.25">
      <c r="A7" s="2">
        <v>5</v>
      </c>
      <c r="B7" s="1" t="s">
        <v>362</v>
      </c>
      <c r="C7" s="1" t="s">
        <v>363</v>
      </c>
      <c r="D7" s="1" t="s">
        <v>364</v>
      </c>
      <c r="E7" s="1" t="s">
        <v>365</v>
      </c>
      <c r="F7" s="1" t="s">
        <v>366</v>
      </c>
      <c r="G7" s="1" t="s">
        <v>367</v>
      </c>
      <c r="J7" s="12">
        <v>5</v>
      </c>
      <c r="K7" s="8" t="s">
        <v>46</v>
      </c>
      <c r="L7" s="8">
        <v>248634</v>
      </c>
      <c r="M7" s="8" t="s">
        <v>54</v>
      </c>
      <c r="N7" s="8">
        <v>248651</v>
      </c>
      <c r="O7" s="8" t="s">
        <v>62</v>
      </c>
      <c r="P7" s="8">
        <v>256268</v>
      </c>
    </row>
    <row r="8" spans="1:16" ht="79.900000000000006" customHeight="1" x14ac:dyDescent="0.25">
      <c r="A8" s="2">
        <v>6</v>
      </c>
      <c r="B8" s="1" t="s">
        <v>368</v>
      </c>
      <c r="C8" s="1" t="s">
        <v>369</v>
      </c>
      <c r="D8" s="1" t="s">
        <v>370</v>
      </c>
      <c r="E8" s="1" t="s">
        <v>371</v>
      </c>
      <c r="F8" s="1" t="s">
        <v>372</v>
      </c>
      <c r="G8" s="1" t="s">
        <v>373</v>
      </c>
      <c r="J8" s="12">
        <v>6</v>
      </c>
      <c r="K8" s="8" t="s">
        <v>47</v>
      </c>
      <c r="L8" s="10">
        <v>248640</v>
      </c>
      <c r="M8" s="8" t="s">
        <v>55</v>
      </c>
      <c r="N8" s="8">
        <v>248653</v>
      </c>
      <c r="O8" s="8" t="s">
        <v>63</v>
      </c>
      <c r="P8" s="8">
        <v>257692</v>
      </c>
    </row>
    <row r="9" spans="1:16" ht="79.900000000000006" customHeight="1" x14ac:dyDescent="0.25">
      <c r="A9" s="2">
        <v>7</v>
      </c>
      <c r="B9" s="1" t="s">
        <v>374</v>
      </c>
      <c r="C9" s="1" t="s">
        <v>375</v>
      </c>
      <c r="D9" s="1" t="s">
        <v>376</v>
      </c>
      <c r="E9" s="1" t="s">
        <v>377</v>
      </c>
      <c r="F9" s="1" t="s">
        <v>378</v>
      </c>
      <c r="G9" s="1" t="s">
        <v>379</v>
      </c>
      <c r="J9" s="12">
        <v>7</v>
      </c>
      <c r="K9" s="8" t="s">
        <v>48</v>
      </c>
      <c r="L9" s="8">
        <v>248641</v>
      </c>
      <c r="M9" s="8" t="s">
        <v>56</v>
      </c>
      <c r="N9" s="8">
        <v>248654</v>
      </c>
      <c r="O9" s="8" t="s">
        <v>64</v>
      </c>
      <c r="P9" s="8">
        <v>258371</v>
      </c>
    </row>
    <row r="10" spans="1:16" ht="79.900000000000006" customHeight="1" x14ac:dyDescent="0.25">
      <c r="A10" s="2">
        <v>8</v>
      </c>
      <c r="B10" s="1" t="s">
        <v>380</v>
      </c>
      <c r="C10" s="1" t="s">
        <v>381</v>
      </c>
      <c r="D10" s="1" t="s">
        <v>382</v>
      </c>
      <c r="E10" s="1" t="s">
        <v>383</v>
      </c>
      <c r="F10" s="1" t="s">
        <v>384</v>
      </c>
      <c r="G10" s="1" t="s">
        <v>385</v>
      </c>
      <c r="J10" s="12">
        <v>8</v>
      </c>
      <c r="K10" s="8" t="s">
        <v>49</v>
      </c>
      <c r="L10" s="8">
        <v>248643</v>
      </c>
      <c r="M10" s="8" t="s">
        <v>57</v>
      </c>
      <c r="N10" s="8">
        <v>248655</v>
      </c>
      <c r="O10" s="8" t="s">
        <v>65</v>
      </c>
      <c r="P10" s="8">
        <v>258519</v>
      </c>
    </row>
    <row r="11" spans="1:16" ht="15.75" x14ac:dyDescent="0.25">
      <c r="J11" s="12" t="s">
        <v>5</v>
      </c>
      <c r="K11" s="25">
        <f>COUNTA(K3:M10)</f>
        <v>23</v>
      </c>
      <c r="L11" s="25"/>
      <c r="M11" s="25"/>
      <c r="N11" s="25">
        <f>COUNTA(N3:P10)</f>
        <v>24</v>
      </c>
      <c r="O11" s="25"/>
      <c r="P11" s="25"/>
    </row>
    <row r="12" spans="1:16" ht="14.45" customHeight="1" x14ac:dyDescent="0.25">
      <c r="J12" s="12" t="s">
        <v>6</v>
      </c>
      <c r="K12" s="22">
        <f>K11+N11</f>
        <v>47</v>
      </c>
      <c r="L12" s="22"/>
      <c r="M12" s="22"/>
      <c r="N12" s="22"/>
      <c r="O12" s="22"/>
      <c r="P12" s="22"/>
    </row>
    <row r="13" spans="1:16" ht="22.15" customHeight="1" x14ac:dyDescent="0.25">
      <c r="J13" s="5" t="s">
        <v>7</v>
      </c>
      <c r="K13" s="22">
        <v>214</v>
      </c>
      <c r="L13" s="22"/>
      <c r="M13" s="22"/>
      <c r="N13" s="22"/>
      <c r="O13" s="22"/>
      <c r="P13" s="22"/>
    </row>
    <row r="14" spans="1:16" ht="25.15" customHeight="1" x14ac:dyDescent="0.25"/>
    <row r="15" spans="1:16" ht="25.15" customHeight="1" x14ac:dyDescent="0.25"/>
  </sheetData>
  <mergeCells count="7">
    <mergeCell ref="K13:P13"/>
    <mergeCell ref="A1:B1"/>
    <mergeCell ref="F1:G1"/>
    <mergeCell ref="K11:M11"/>
    <mergeCell ref="N11:P11"/>
    <mergeCell ref="K12:P12"/>
    <mergeCell ref="D1:E1"/>
  </mergeCells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BE63-A4AF-4521-A804-052989847367}">
  <dimension ref="A1:P15"/>
  <sheetViews>
    <sheetView zoomScale="70" zoomScaleNormal="70" workbookViewId="0">
      <selection activeCell="B3" sqref="B3:G10"/>
    </sheetView>
  </sheetViews>
  <sheetFormatPr defaultRowHeight="15" x14ac:dyDescent="0.25"/>
  <cols>
    <col min="1" max="1" width="2.7109375" bestFit="1" customWidth="1"/>
    <col min="2" max="7" width="14.7109375" customWidth="1"/>
    <col min="10" max="11" width="8.85546875" style="2"/>
    <col min="12" max="12" width="10" style="2" bestFit="1" customWidth="1"/>
    <col min="13" max="15" width="8.85546875" style="2"/>
  </cols>
  <sheetData>
    <row r="1" spans="1:16" ht="32.450000000000003" customHeight="1" x14ac:dyDescent="0.25">
      <c r="A1" s="23" t="s">
        <v>1</v>
      </c>
      <c r="B1" s="24"/>
      <c r="C1" s="4">
        <f>K13</f>
        <v>215</v>
      </c>
      <c r="D1" s="23" t="s">
        <v>3</v>
      </c>
      <c r="E1" s="24"/>
      <c r="F1" s="23">
        <f>K12</f>
        <v>42</v>
      </c>
      <c r="G1" s="24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2" t="s">
        <v>4</v>
      </c>
      <c r="K2" s="13" t="s">
        <v>10</v>
      </c>
      <c r="L2" s="9" t="s">
        <v>11</v>
      </c>
      <c r="M2" s="13" t="s">
        <v>10</v>
      </c>
      <c r="N2" s="9" t="s">
        <v>66</v>
      </c>
      <c r="O2" s="13" t="s">
        <v>10</v>
      </c>
      <c r="P2" s="9" t="s">
        <v>66</v>
      </c>
    </row>
    <row r="3" spans="1:16" ht="79.900000000000006" customHeight="1" x14ac:dyDescent="0.25">
      <c r="A3" s="2">
        <v>1</v>
      </c>
      <c r="B3" s="6" t="s">
        <v>2</v>
      </c>
      <c r="C3" s="1" t="s">
        <v>386</v>
      </c>
      <c r="D3" s="1" t="s">
        <v>387</v>
      </c>
      <c r="E3" s="1" t="s">
        <v>388</v>
      </c>
      <c r="F3" s="1" t="s">
        <v>389</v>
      </c>
      <c r="G3" s="1" t="s">
        <v>390</v>
      </c>
      <c r="J3" s="12">
        <v>1</v>
      </c>
      <c r="K3" s="7"/>
      <c r="L3" s="8">
        <v>270915</v>
      </c>
      <c r="M3" s="8" t="s">
        <v>67</v>
      </c>
      <c r="N3" s="8">
        <v>106825</v>
      </c>
      <c r="O3" s="8" t="s">
        <v>68</v>
      </c>
      <c r="P3" s="8">
        <v>236382</v>
      </c>
    </row>
    <row r="4" spans="1:16" ht="79.900000000000006" customHeight="1" x14ac:dyDescent="0.25">
      <c r="A4" s="2">
        <v>2</v>
      </c>
      <c r="B4" s="1" t="s">
        <v>391</v>
      </c>
      <c r="C4" s="1" t="s">
        <v>392</v>
      </c>
      <c r="D4" s="1" t="s">
        <v>393</v>
      </c>
      <c r="E4" s="1" t="s">
        <v>394</v>
      </c>
      <c r="F4" s="1" t="s">
        <v>395</v>
      </c>
      <c r="G4" s="1" t="s">
        <v>396</v>
      </c>
      <c r="J4" s="12">
        <v>2</v>
      </c>
      <c r="K4" s="8" t="s">
        <v>69</v>
      </c>
      <c r="L4" s="8">
        <v>792021</v>
      </c>
      <c r="M4" s="8" t="s">
        <v>70</v>
      </c>
      <c r="N4" s="8">
        <v>148135</v>
      </c>
      <c r="O4" s="8" t="s">
        <v>71</v>
      </c>
      <c r="P4" s="8">
        <v>236398</v>
      </c>
    </row>
    <row r="5" spans="1:16" ht="79.900000000000006" customHeight="1" x14ac:dyDescent="0.25">
      <c r="A5" s="2">
        <v>3</v>
      </c>
      <c r="B5" s="1" t="s">
        <v>397</v>
      </c>
      <c r="C5" s="1" t="s">
        <v>398</v>
      </c>
      <c r="D5" s="1" t="s">
        <v>399</v>
      </c>
      <c r="E5" s="1" t="s">
        <v>400</v>
      </c>
      <c r="F5" s="1" t="s">
        <v>401</v>
      </c>
      <c r="G5" s="1" t="s">
        <v>402</v>
      </c>
      <c r="J5" s="12">
        <v>3</v>
      </c>
      <c r="K5" s="8" t="s">
        <v>72</v>
      </c>
      <c r="L5" s="11">
        <v>861792</v>
      </c>
      <c r="M5" s="8" t="s">
        <v>73</v>
      </c>
      <c r="N5" s="8">
        <v>151569</v>
      </c>
      <c r="O5" s="8" t="s">
        <v>74</v>
      </c>
      <c r="P5" s="19">
        <v>248211</v>
      </c>
    </row>
    <row r="6" spans="1:16" ht="79.900000000000006" customHeight="1" x14ac:dyDescent="0.25">
      <c r="A6" s="2">
        <v>4</v>
      </c>
      <c r="B6" s="1" t="s">
        <v>403</v>
      </c>
      <c r="C6" s="1" t="s">
        <v>404</v>
      </c>
      <c r="D6" s="1" t="s">
        <v>405</v>
      </c>
      <c r="E6" s="1" t="s">
        <v>406</v>
      </c>
      <c r="F6" s="1" t="s">
        <v>407</v>
      </c>
      <c r="G6" s="1" t="s">
        <v>408</v>
      </c>
      <c r="J6" s="12">
        <v>4</v>
      </c>
      <c r="K6" s="8" t="s">
        <v>75</v>
      </c>
      <c r="L6" s="16"/>
      <c r="M6" s="8" t="s">
        <v>76</v>
      </c>
      <c r="N6" s="8">
        <v>171592</v>
      </c>
      <c r="O6" s="8" t="s">
        <v>77</v>
      </c>
      <c r="P6" s="8">
        <v>261785</v>
      </c>
    </row>
    <row r="7" spans="1:16" ht="79.900000000000006" customHeight="1" x14ac:dyDescent="0.25">
      <c r="A7" s="2">
        <v>5</v>
      </c>
      <c r="B7" s="1" t="s">
        <v>409</v>
      </c>
      <c r="C7" s="1" t="s">
        <v>404</v>
      </c>
      <c r="D7" s="1" t="s">
        <v>410</v>
      </c>
      <c r="E7" s="1" t="s">
        <v>411</v>
      </c>
      <c r="F7" s="1" t="s">
        <v>412</v>
      </c>
      <c r="G7" s="1" t="s">
        <v>413</v>
      </c>
      <c r="J7" s="12">
        <v>5</v>
      </c>
      <c r="K7" s="8" t="s">
        <v>78</v>
      </c>
      <c r="L7" s="15"/>
      <c r="M7" s="8" t="s">
        <v>79</v>
      </c>
      <c r="N7" s="8">
        <v>174159</v>
      </c>
      <c r="O7" s="8" t="s">
        <v>80</v>
      </c>
      <c r="P7" s="8">
        <v>262321</v>
      </c>
    </row>
    <row r="8" spans="1:16" ht="79.900000000000006" customHeight="1" x14ac:dyDescent="0.25">
      <c r="A8" s="2">
        <v>6</v>
      </c>
      <c r="B8" s="1" t="s">
        <v>414</v>
      </c>
      <c r="C8" s="1" t="s">
        <v>404</v>
      </c>
      <c r="D8" s="1" t="s">
        <v>415</v>
      </c>
      <c r="E8" s="1" t="s">
        <v>416</v>
      </c>
      <c r="F8" s="1" t="s">
        <v>417</v>
      </c>
      <c r="G8" s="1" t="s">
        <v>418</v>
      </c>
      <c r="J8" s="12">
        <v>6</v>
      </c>
      <c r="K8" s="8" t="s">
        <v>81</v>
      </c>
      <c r="L8" s="16"/>
      <c r="M8" s="8" t="s">
        <v>82</v>
      </c>
      <c r="N8" s="8">
        <v>177331</v>
      </c>
      <c r="O8" s="8" t="s">
        <v>83</v>
      </c>
      <c r="P8" s="8">
        <v>789154</v>
      </c>
    </row>
    <row r="9" spans="1:16" ht="79.900000000000006" customHeight="1" x14ac:dyDescent="0.25">
      <c r="A9" s="2">
        <v>7</v>
      </c>
      <c r="B9" s="1" t="s">
        <v>419</v>
      </c>
      <c r="C9" s="1" t="s">
        <v>404</v>
      </c>
      <c r="D9" s="1" t="s">
        <v>420</v>
      </c>
      <c r="E9" s="1" t="s">
        <v>421</v>
      </c>
      <c r="F9" s="1" t="s">
        <v>422</v>
      </c>
      <c r="G9" s="1" t="s">
        <v>423</v>
      </c>
      <c r="J9" s="12">
        <v>7</v>
      </c>
      <c r="K9" s="8" t="s">
        <v>84</v>
      </c>
      <c r="L9" s="15"/>
      <c r="M9" s="8" t="s">
        <v>85</v>
      </c>
      <c r="N9" s="8">
        <v>178399</v>
      </c>
      <c r="O9" s="8" t="s">
        <v>86</v>
      </c>
      <c r="P9" s="8">
        <v>862013</v>
      </c>
    </row>
    <row r="10" spans="1:16" ht="79.900000000000006" customHeight="1" x14ac:dyDescent="0.25">
      <c r="A10" s="2">
        <v>8</v>
      </c>
      <c r="B10" s="1" t="s">
        <v>424</v>
      </c>
      <c r="C10" s="1" t="s">
        <v>404</v>
      </c>
      <c r="D10" s="1" t="s">
        <v>425</v>
      </c>
      <c r="E10" s="1" t="s">
        <v>426</v>
      </c>
      <c r="F10" s="1" t="s">
        <v>427</v>
      </c>
      <c r="G10" s="1" t="s">
        <v>428</v>
      </c>
      <c r="J10" s="12">
        <v>8</v>
      </c>
      <c r="K10" s="8" t="s">
        <v>87</v>
      </c>
      <c r="L10" s="16"/>
      <c r="M10" s="8" t="s">
        <v>88</v>
      </c>
      <c r="N10" s="8">
        <v>233140</v>
      </c>
      <c r="O10" s="8" t="s">
        <v>89</v>
      </c>
      <c r="P10" s="11" t="s">
        <v>90</v>
      </c>
    </row>
    <row r="11" spans="1:16" ht="15.75" x14ac:dyDescent="0.25">
      <c r="J11" s="12" t="s">
        <v>5</v>
      </c>
      <c r="K11" s="25">
        <f>COUNTA(K3:M10)</f>
        <v>18</v>
      </c>
      <c r="L11" s="25"/>
      <c r="M11" s="25"/>
      <c r="N11" s="25">
        <f>COUNTA(N3:P10)</f>
        <v>24</v>
      </c>
      <c r="O11" s="25"/>
      <c r="P11" s="25"/>
    </row>
    <row r="12" spans="1:16" ht="14.45" customHeight="1" x14ac:dyDescent="0.25">
      <c r="J12" s="12" t="s">
        <v>6</v>
      </c>
      <c r="K12" s="22">
        <f>K11+N11</f>
        <v>42</v>
      </c>
      <c r="L12" s="22"/>
      <c r="M12" s="22"/>
      <c r="N12" s="22"/>
      <c r="O12" s="22"/>
      <c r="P12" s="22"/>
    </row>
    <row r="13" spans="1:16" ht="22.15" customHeight="1" x14ac:dyDescent="0.25">
      <c r="J13" s="5" t="s">
        <v>7</v>
      </c>
      <c r="K13" s="22">
        <v>215</v>
      </c>
      <c r="L13" s="22"/>
      <c r="M13" s="22"/>
      <c r="N13" s="22"/>
      <c r="O13" s="22"/>
      <c r="P13" s="22"/>
    </row>
    <row r="14" spans="1:16" ht="25.15" customHeight="1" x14ac:dyDescent="0.25"/>
    <row r="15" spans="1:16" ht="25.15" customHeight="1" x14ac:dyDescent="0.25"/>
  </sheetData>
  <mergeCells count="7">
    <mergeCell ref="K13:P13"/>
    <mergeCell ref="A1:B1"/>
    <mergeCell ref="F1:G1"/>
    <mergeCell ref="K11:M11"/>
    <mergeCell ref="N11:P11"/>
    <mergeCell ref="K12:P12"/>
    <mergeCell ref="D1:E1"/>
  </mergeCells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A38E-F9DF-4E5E-B0B6-47311B372568}">
  <dimension ref="A1:P13"/>
  <sheetViews>
    <sheetView topLeftCell="A5" zoomScale="70" zoomScaleNormal="70" workbookViewId="0">
      <selection activeCell="K13" sqref="K13:P13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27" customHeight="1" x14ac:dyDescent="0.25">
      <c r="A1" s="23" t="s">
        <v>1</v>
      </c>
      <c r="B1" s="24"/>
      <c r="C1" s="4">
        <f>K12</f>
        <v>112</v>
      </c>
      <c r="D1" s="23" t="s">
        <v>3</v>
      </c>
      <c r="E1" s="24"/>
      <c r="F1" s="23">
        <f>K11</f>
        <v>41</v>
      </c>
      <c r="G1" s="24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2" t="s">
        <v>4</v>
      </c>
      <c r="K2" s="13" t="s">
        <v>10</v>
      </c>
      <c r="L2" s="9" t="s">
        <v>66</v>
      </c>
      <c r="M2" s="13" t="s">
        <v>10</v>
      </c>
      <c r="N2" s="9" t="s">
        <v>66</v>
      </c>
      <c r="O2" s="13" t="s">
        <v>10</v>
      </c>
      <c r="P2" s="9" t="s">
        <v>66</v>
      </c>
    </row>
    <row r="3" spans="1:16" ht="85.15" customHeight="1" x14ac:dyDescent="0.25">
      <c r="A3" s="2">
        <v>1</v>
      </c>
      <c r="B3" s="6" t="s">
        <v>2</v>
      </c>
      <c r="C3" s="1" t="str">
        <f t="shared" ref="C3:C9" si="0">$L$2 &amp; CHAR(10) &amp; L3</f>
        <v>3ET
 861620</v>
      </c>
      <c r="D3" s="1" t="str">
        <f t="shared" ref="D3:D9" si="1">$M$2 &amp; CHAR(10) &amp; M3</f>
        <v>3CT
248449 </v>
      </c>
      <c r="E3" s="1" t="str">
        <f t="shared" ref="E3:E9" si="2">$N$2 &amp; CHAR(10) &amp; N3</f>
        <v>3ET
248216 </v>
      </c>
      <c r="F3" s="1" t="str">
        <f t="shared" ref="F3:F9" si="3">$O$2 &amp; CHAR(10) &amp; O3</f>
        <v>3CT
248466 </v>
      </c>
      <c r="G3" s="1" t="str">
        <f>$P$2 &amp; CHAR(10) &amp; P3</f>
        <v>3ET
248231 </v>
      </c>
      <c r="J3" s="12">
        <v>1</v>
      </c>
      <c r="K3" s="7"/>
      <c r="L3" s="11" t="s">
        <v>91</v>
      </c>
      <c r="M3" s="8" t="s">
        <v>92</v>
      </c>
      <c r="N3" s="8" t="s">
        <v>93</v>
      </c>
      <c r="O3" s="8" t="s">
        <v>94</v>
      </c>
      <c r="P3" s="8" t="s">
        <v>95</v>
      </c>
    </row>
    <row r="4" spans="1:16" ht="85.15" customHeight="1" x14ac:dyDescent="0.25">
      <c r="A4" s="2">
        <v>2</v>
      </c>
      <c r="B4" s="1" t="str">
        <f t="shared" ref="B4:B9" si="4">$K$2 &amp; CHAR(10) &amp; K4</f>
        <v>3CT
248439 </v>
      </c>
      <c r="C4" s="1" t="str">
        <f t="shared" si="0"/>
        <v>3ET
 861645</v>
      </c>
      <c r="D4" s="1" t="str">
        <f t="shared" si="1"/>
        <v>3CT
248450 </v>
      </c>
      <c r="E4" s="1" t="str">
        <f t="shared" si="2"/>
        <v>3ET
248220 </v>
      </c>
      <c r="F4" s="1" t="str">
        <f t="shared" si="3"/>
        <v>3CT
248467 </v>
      </c>
      <c r="G4" s="1" t="str">
        <f t="shared" ref="G4:G9" si="5">$P$2 &amp; CHAR(10) &amp; P4</f>
        <v>3ET
248233 </v>
      </c>
      <c r="J4" s="12">
        <v>2</v>
      </c>
      <c r="K4" s="8" t="s">
        <v>96</v>
      </c>
      <c r="L4" s="11" t="s">
        <v>97</v>
      </c>
      <c r="M4" s="8" t="s">
        <v>98</v>
      </c>
      <c r="N4" s="8" t="s">
        <v>99</v>
      </c>
      <c r="O4" s="8" t="s">
        <v>100</v>
      </c>
      <c r="P4" s="8" t="s">
        <v>101</v>
      </c>
    </row>
    <row r="5" spans="1:16" ht="85.15" customHeight="1" x14ac:dyDescent="0.25">
      <c r="A5" s="2">
        <v>3</v>
      </c>
      <c r="B5" s="1" t="str">
        <f t="shared" si="4"/>
        <v>3CT
248441 </v>
      </c>
      <c r="C5" s="1" t="str">
        <f t="shared" si="0"/>
        <v>3ET
 861667</v>
      </c>
      <c r="D5" s="1" t="str">
        <f t="shared" si="1"/>
        <v>3CT
248454 </v>
      </c>
      <c r="E5" s="1" t="str">
        <f t="shared" si="2"/>
        <v>3ET
248221 </v>
      </c>
      <c r="F5" s="1" t="str">
        <f t="shared" si="3"/>
        <v>3CT
248469 </v>
      </c>
      <c r="G5" s="1" t="str">
        <f t="shared" si="5"/>
        <v>3ET
248234 </v>
      </c>
      <c r="J5" s="12">
        <v>3</v>
      </c>
      <c r="K5" s="8" t="s">
        <v>102</v>
      </c>
      <c r="L5" s="11" t="s">
        <v>103</v>
      </c>
      <c r="M5" s="8" t="s">
        <v>104</v>
      </c>
      <c r="N5" s="8" t="s">
        <v>105</v>
      </c>
      <c r="O5" s="8" t="s">
        <v>106</v>
      </c>
      <c r="P5" s="8" t="s">
        <v>107</v>
      </c>
    </row>
    <row r="6" spans="1:16" ht="85.15" customHeight="1" x14ac:dyDescent="0.25">
      <c r="A6" s="2">
        <v>4</v>
      </c>
      <c r="B6" s="1" t="str">
        <f t="shared" si="4"/>
        <v>3CT
248442 </v>
      </c>
      <c r="C6" s="1" t="str">
        <f t="shared" si="0"/>
        <v>3ET
 861894</v>
      </c>
      <c r="D6" s="1" t="str">
        <f t="shared" si="1"/>
        <v>3CT
248457 </v>
      </c>
      <c r="E6" s="1" t="str">
        <f t="shared" si="2"/>
        <v>3ET
248222 </v>
      </c>
      <c r="F6" s="1" t="str">
        <f t="shared" si="3"/>
        <v>3CT
248470 </v>
      </c>
      <c r="G6" s="1" t="str">
        <f t="shared" si="5"/>
        <v>3ET
248235 </v>
      </c>
      <c r="J6" s="12">
        <v>4</v>
      </c>
      <c r="K6" s="8" t="s">
        <v>108</v>
      </c>
      <c r="L6" s="11" t="s">
        <v>109</v>
      </c>
      <c r="M6" s="8" t="s">
        <v>110</v>
      </c>
      <c r="N6" s="8" t="s">
        <v>111</v>
      </c>
      <c r="O6" s="8" t="s">
        <v>112</v>
      </c>
      <c r="P6" s="8" t="s">
        <v>113</v>
      </c>
    </row>
    <row r="7" spans="1:16" ht="85.15" customHeight="1" x14ac:dyDescent="0.25">
      <c r="A7" s="2">
        <v>5</v>
      </c>
      <c r="B7" s="1" t="str">
        <f t="shared" si="4"/>
        <v>3CT
248443 </v>
      </c>
      <c r="C7" s="1" t="str">
        <f t="shared" si="0"/>
        <v>3ET
248213 </v>
      </c>
      <c r="D7" s="1" t="str">
        <f t="shared" si="1"/>
        <v>3CT
248458 </v>
      </c>
      <c r="E7" s="1" t="str">
        <f t="shared" si="2"/>
        <v>3ET
248224 </v>
      </c>
      <c r="F7" s="1" t="str">
        <f t="shared" si="3"/>
        <v>3CT
248473 </v>
      </c>
      <c r="G7" s="1" t="str">
        <f t="shared" si="5"/>
        <v>3ET
248236 </v>
      </c>
      <c r="J7" s="12">
        <v>5</v>
      </c>
      <c r="K7" s="8" t="s">
        <v>114</v>
      </c>
      <c r="L7" s="8" t="s">
        <v>115</v>
      </c>
      <c r="M7" s="8" t="s">
        <v>116</v>
      </c>
      <c r="N7" s="8" t="s">
        <v>117</v>
      </c>
      <c r="O7" s="8" t="s">
        <v>118</v>
      </c>
      <c r="P7" s="8" t="s">
        <v>119</v>
      </c>
    </row>
    <row r="8" spans="1:16" ht="85.15" customHeight="1" x14ac:dyDescent="0.25">
      <c r="A8" s="2">
        <v>6</v>
      </c>
      <c r="B8" s="1" t="str">
        <f t="shared" si="4"/>
        <v>3CT
248444 </v>
      </c>
      <c r="C8" s="1" t="str">
        <f t="shared" si="0"/>
        <v>3ET
248214 </v>
      </c>
      <c r="D8" s="1" t="str">
        <f t="shared" si="1"/>
        <v>3CT
248459 </v>
      </c>
      <c r="E8" s="1" t="str">
        <f t="shared" si="2"/>
        <v>3ET
248225 </v>
      </c>
      <c r="F8" s="1" t="str">
        <f t="shared" si="3"/>
        <v>3CT
248475 </v>
      </c>
      <c r="G8" s="1" t="str">
        <f t="shared" si="5"/>
        <v>3ET
248237 </v>
      </c>
      <c r="J8" s="12">
        <v>6</v>
      </c>
      <c r="K8" s="8" t="s">
        <v>120</v>
      </c>
      <c r="L8" s="8" t="s">
        <v>121</v>
      </c>
      <c r="M8" s="8" t="s">
        <v>122</v>
      </c>
      <c r="N8" s="8" t="s">
        <v>123</v>
      </c>
      <c r="O8" s="8" t="s">
        <v>124</v>
      </c>
      <c r="P8" s="8" t="s">
        <v>125</v>
      </c>
    </row>
    <row r="9" spans="1:16" ht="85.15" customHeight="1" x14ac:dyDescent="0.25">
      <c r="A9" s="2">
        <v>7</v>
      </c>
      <c r="B9" s="1" t="str">
        <f t="shared" si="4"/>
        <v>3CT
248448 </v>
      </c>
      <c r="C9" s="1" t="str">
        <f t="shared" si="0"/>
        <v>3ET
248215 </v>
      </c>
      <c r="D9" s="1" t="str">
        <f t="shared" si="1"/>
        <v>3CT
248461 </v>
      </c>
      <c r="E9" s="1" t="str">
        <f t="shared" si="2"/>
        <v>3ET
248228 </v>
      </c>
      <c r="F9" s="1" t="str">
        <f t="shared" si="3"/>
        <v>3CT
248477 </v>
      </c>
      <c r="G9" s="1" t="str">
        <f t="shared" si="5"/>
        <v>3ET
248238 </v>
      </c>
      <c r="J9" s="12">
        <v>7</v>
      </c>
      <c r="K9" s="8" t="s">
        <v>126</v>
      </c>
      <c r="L9" s="8" t="s">
        <v>127</v>
      </c>
      <c r="M9" s="8" t="s">
        <v>128</v>
      </c>
      <c r="N9" s="8" t="s">
        <v>129</v>
      </c>
      <c r="O9" s="8" t="s">
        <v>130</v>
      </c>
      <c r="P9" s="8" t="s">
        <v>131</v>
      </c>
    </row>
    <row r="10" spans="1:16" ht="15.75" x14ac:dyDescent="0.25">
      <c r="J10" s="12" t="s">
        <v>5</v>
      </c>
      <c r="K10" s="25">
        <f>COUNTA(K3:M9)</f>
        <v>20</v>
      </c>
      <c r="L10" s="25"/>
      <c r="M10" s="25"/>
      <c r="N10" s="25">
        <f>COUNTA(N3:P9)</f>
        <v>21</v>
      </c>
      <c r="O10" s="25"/>
      <c r="P10" s="25"/>
    </row>
    <row r="11" spans="1:16" ht="14.45" customHeight="1" x14ac:dyDescent="0.25">
      <c r="J11" s="12" t="s">
        <v>6</v>
      </c>
      <c r="K11" s="22">
        <f>K10+N10</f>
        <v>41</v>
      </c>
      <c r="L11" s="22"/>
      <c r="M11" s="22"/>
      <c r="N11" s="22"/>
      <c r="O11" s="22"/>
      <c r="P11" s="22"/>
    </row>
    <row r="12" spans="1:16" ht="14.45" customHeight="1" x14ac:dyDescent="0.25">
      <c r="J12" s="5" t="s">
        <v>7</v>
      </c>
      <c r="K12" s="22">
        <v>112</v>
      </c>
      <c r="L12" s="22"/>
      <c r="M12" s="22"/>
      <c r="N12" s="22"/>
      <c r="O12" s="22"/>
      <c r="P12" s="22"/>
    </row>
    <row r="13" spans="1:16" ht="15.75" x14ac:dyDescent="0.25">
      <c r="J13" s="12" t="s">
        <v>8</v>
      </c>
      <c r="K13" s="22" t="s">
        <v>9</v>
      </c>
      <c r="L13" s="22"/>
      <c r="M13" s="22"/>
      <c r="N13" s="22"/>
      <c r="O13" s="22"/>
      <c r="P13" s="22"/>
    </row>
  </sheetData>
  <mergeCells count="8">
    <mergeCell ref="K11:P11"/>
    <mergeCell ref="K12:P12"/>
    <mergeCell ref="K13:P13"/>
    <mergeCell ref="A1:B1"/>
    <mergeCell ref="D1:E1"/>
    <mergeCell ref="F1:G1"/>
    <mergeCell ref="K10:M10"/>
    <mergeCell ref="N10:P10"/>
  </mergeCells>
  <pageMargins left="0.45" right="0.4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F3869-51E4-4495-AAF5-7BD40EE5B240}">
  <dimension ref="A1:P13"/>
  <sheetViews>
    <sheetView zoomScale="70" zoomScaleNormal="70" workbookViewId="0">
      <selection activeCell="B3" sqref="B3:G9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27" customHeight="1" x14ac:dyDescent="0.25">
      <c r="A1" s="23" t="s">
        <v>1</v>
      </c>
      <c r="B1" s="24"/>
      <c r="C1" s="4">
        <f>K12</f>
        <v>311</v>
      </c>
      <c r="D1" s="23" t="s">
        <v>3</v>
      </c>
      <c r="E1" s="24"/>
      <c r="F1" s="23">
        <f>K11</f>
        <v>39</v>
      </c>
      <c r="G1" s="24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2" t="s">
        <v>4</v>
      </c>
      <c r="K2" s="13" t="s">
        <v>10</v>
      </c>
      <c r="L2" s="9" t="s">
        <v>66</v>
      </c>
      <c r="M2" s="13" t="s">
        <v>10</v>
      </c>
      <c r="N2" s="9" t="s">
        <v>66</v>
      </c>
      <c r="O2" s="13" t="s">
        <v>132</v>
      </c>
      <c r="P2" s="9" t="s">
        <v>66</v>
      </c>
    </row>
    <row r="3" spans="1:16" ht="85.15" customHeight="1" x14ac:dyDescent="0.25">
      <c r="A3" s="2">
        <v>1</v>
      </c>
      <c r="B3" s="6" t="s">
        <v>2</v>
      </c>
      <c r="C3" s="1" t="s">
        <v>429</v>
      </c>
      <c r="D3" s="1" t="s">
        <v>430</v>
      </c>
      <c r="E3" s="1" t="s">
        <v>431</v>
      </c>
      <c r="F3" s="1" t="s">
        <v>432</v>
      </c>
      <c r="G3" s="1" t="s">
        <v>433</v>
      </c>
      <c r="J3" s="12">
        <v>1</v>
      </c>
      <c r="K3" s="7"/>
      <c r="L3" s="8" t="s">
        <v>133</v>
      </c>
      <c r="M3" s="8" t="s">
        <v>134</v>
      </c>
      <c r="N3" s="8" t="s">
        <v>135</v>
      </c>
      <c r="O3" s="11" t="s">
        <v>136</v>
      </c>
      <c r="P3" s="8" t="s">
        <v>137</v>
      </c>
    </row>
    <row r="4" spans="1:16" ht="85.15" customHeight="1" x14ac:dyDescent="0.25">
      <c r="A4" s="2">
        <v>2</v>
      </c>
      <c r="B4" s="1" t="s">
        <v>434</v>
      </c>
      <c r="C4" s="1" t="s">
        <v>435</v>
      </c>
      <c r="D4" s="1" t="s">
        <v>436</v>
      </c>
      <c r="E4" s="1" t="s">
        <v>437</v>
      </c>
      <c r="F4" s="1" t="s">
        <v>438</v>
      </c>
      <c r="G4" s="1" t="s">
        <v>439</v>
      </c>
      <c r="J4" s="12">
        <v>2</v>
      </c>
      <c r="K4" s="8" t="s">
        <v>138</v>
      </c>
      <c r="L4" s="8" t="s">
        <v>139</v>
      </c>
      <c r="M4" s="8" t="s">
        <v>140</v>
      </c>
      <c r="N4" s="8" t="s">
        <v>141</v>
      </c>
      <c r="O4" s="8" t="s">
        <v>142</v>
      </c>
      <c r="P4" s="8" t="s">
        <v>143</v>
      </c>
    </row>
    <row r="5" spans="1:16" ht="85.15" customHeight="1" x14ac:dyDescent="0.25">
      <c r="A5" s="2">
        <v>3</v>
      </c>
      <c r="B5" s="1" t="s">
        <v>440</v>
      </c>
      <c r="C5" s="1" t="s">
        <v>441</v>
      </c>
      <c r="D5" s="1" t="s">
        <v>442</v>
      </c>
      <c r="E5" s="1" t="s">
        <v>443</v>
      </c>
      <c r="F5" s="1" t="s">
        <v>444</v>
      </c>
      <c r="G5" s="1" t="s">
        <v>445</v>
      </c>
      <c r="J5" s="12">
        <v>3</v>
      </c>
      <c r="K5" s="8" t="s">
        <v>144</v>
      </c>
      <c r="L5" s="8" t="s">
        <v>145</v>
      </c>
      <c r="M5" s="8" t="s">
        <v>146</v>
      </c>
      <c r="N5" s="8" t="s">
        <v>147</v>
      </c>
      <c r="O5" s="8" t="s">
        <v>148</v>
      </c>
      <c r="P5" s="8" t="s">
        <v>149</v>
      </c>
    </row>
    <row r="6" spans="1:16" ht="85.15" customHeight="1" x14ac:dyDescent="0.25">
      <c r="A6" s="2">
        <v>4</v>
      </c>
      <c r="B6" s="1" t="s">
        <v>446</v>
      </c>
      <c r="C6" s="1" t="s">
        <v>447</v>
      </c>
      <c r="D6" s="1" t="s">
        <v>448</v>
      </c>
      <c r="E6" s="1" t="s">
        <v>449</v>
      </c>
      <c r="F6" s="1" t="s">
        <v>450</v>
      </c>
      <c r="G6" s="1" t="s">
        <v>451</v>
      </c>
      <c r="J6" s="12">
        <v>4</v>
      </c>
      <c r="K6" s="8" t="s">
        <v>150</v>
      </c>
      <c r="L6" s="8" t="s">
        <v>151</v>
      </c>
      <c r="M6" s="16"/>
      <c r="N6" s="8" t="s">
        <v>152</v>
      </c>
      <c r="O6" s="8" t="s">
        <v>153</v>
      </c>
      <c r="P6" s="8" t="s">
        <v>154</v>
      </c>
    </row>
    <row r="7" spans="1:16" ht="85.15" customHeight="1" x14ac:dyDescent="0.25">
      <c r="A7" s="2">
        <v>5</v>
      </c>
      <c r="B7" s="1" t="s">
        <v>452</v>
      </c>
      <c r="C7" s="1" t="s">
        <v>453</v>
      </c>
      <c r="D7" s="1" t="s">
        <v>454</v>
      </c>
      <c r="E7" s="1" t="s">
        <v>455</v>
      </c>
      <c r="F7" s="1" t="s">
        <v>456</v>
      </c>
      <c r="G7" s="1" t="s">
        <v>457</v>
      </c>
      <c r="J7" s="12">
        <v>5</v>
      </c>
      <c r="K7" s="10" t="s">
        <v>155</v>
      </c>
      <c r="L7" s="8" t="s">
        <v>156</v>
      </c>
      <c r="M7" s="20">
        <v>862062</v>
      </c>
      <c r="N7" s="8" t="s">
        <v>157</v>
      </c>
      <c r="O7" s="8" t="s">
        <v>158</v>
      </c>
      <c r="P7" s="8" t="s">
        <v>159</v>
      </c>
    </row>
    <row r="8" spans="1:16" ht="85.15" customHeight="1" x14ac:dyDescent="0.25">
      <c r="A8" s="2">
        <v>6</v>
      </c>
      <c r="B8" s="1" t="s">
        <v>458</v>
      </c>
      <c r="C8" s="1" t="s">
        <v>459</v>
      </c>
      <c r="D8" s="1" t="s">
        <v>460</v>
      </c>
      <c r="E8" s="1" t="s">
        <v>461</v>
      </c>
      <c r="F8" s="1" t="s">
        <v>462</v>
      </c>
      <c r="G8" s="1" t="s">
        <v>463</v>
      </c>
      <c r="J8" s="12">
        <v>6</v>
      </c>
      <c r="K8" s="8" t="s">
        <v>160</v>
      </c>
      <c r="L8" s="8" t="s">
        <v>161</v>
      </c>
      <c r="M8" s="20" t="s">
        <v>162</v>
      </c>
      <c r="N8" s="8" t="s">
        <v>163</v>
      </c>
      <c r="O8" s="8" t="s">
        <v>164</v>
      </c>
      <c r="P8" s="8" t="s">
        <v>165</v>
      </c>
    </row>
    <row r="9" spans="1:16" ht="85.15" customHeight="1" x14ac:dyDescent="0.25">
      <c r="A9" s="2">
        <v>7</v>
      </c>
      <c r="B9" s="1" t="s">
        <v>464</v>
      </c>
      <c r="C9" s="1" t="s">
        <v>465</v>
      </c>
      <c r="D9" s="1" t="s">
        <v>448</v>
      </c>
      <c r="E9" s="1" t="s">
        <v>466</v>
      </c>
      <c r="F9" s="1" t="s">
        <v>467</v>
      </c>
      <c r="G9" s="1" t="s">
        <v>468</v>
      </c>
      <c r="J9" s="12">
        <v>7</v>
      </c>
      <c r="K9" s="8" t="s">
        <v>166</v>
      </c>
      <c r="L9" s="8" t="s">
        <v>167</v>
      </c>
      <c r="M9" s="15"/>
      <c r="N9" s="8" t="s">
        <v>168</v>
      </c>
      <c r="O9" s="8" t="s">
        <v>169</v>
      </c>
      <c r="P9" s="8" t="s">
        <v>170</v>
      </c>
    </row>
    <row r="10" spans="1:16" ht="15.75" x14ac:dyDescent="0.25">
      <c r="J10" s="12" t="s">
        <v>5</v>
      </c>
      <c r="K10" s="25">
        <f>COUNTA(K3:M9)</f>
        <v>18</v>
      </c>
      <c r="L10" s="25"/>
      <c r="M10" s="25"/>
      <c r="N10" s="25">
        <f>COUNTA(N3:P9)</f>
        <v>21</v>
      </c>
      <c r="O10" s="25"/>
      <c r="P10" s="25"/>
    </row>
    <row r="11" spans="1:16" ht="14.45" customHeight="1" x14ac:dyDescent="0.25">
      <c r="J11" s="12" t="s">
        <v>6</v>
      </c>
      <c r="K11" s="22">
        <f>K10+N10</f>
        <v>39</v>
      </c>
      <c r="L11" s="22"/>
      <c r="M11" s="22"/>
      <c r="N11" s="22"/>
      <c r="O11" s="22"/>
      <c r="P11" s="22"/>
    </row>
    <row r="12" spans="1:16" ht="14.45" customHeight="1" x14ac:dyDescent="0.25">
      <c r="J12" s="5" t="s">
        <v>7</v>
      </c>
      <c r="K12" s="22">
        <v>311</v>
      </c>
      <c r="L12" s="22"/>
      <c r="M12" s="22"/>
      <c r="N12" s="22"/>
      <c r="O12" s="22"/>
      <c r="P12" s="22"/>
    </row>
    <row r="13" spans="1:16" ht="15.75" x14ac:dyDescent="0.25">
      <c r="J13" s="12" t="s">
        <v>8</v>
      </c>
      <c r="K13" s="22" t="s">
        <v>9</v>
      </c>
      <c r="L13" s="22"/>
      <c r="M13" s="22"/>
      <c r="N13" s="22"/>
      <c r="O13" s="22"/>
      <c r="P13" s="22"/>
    </row>
  </sheetData>
  <mergeCells count="8">
    <mergeCell ref="K12:P12"/>
    <mergeCell ref="K13:P13"/>
    <mergeCell ref="A1:B1"/>
    <mergeCell ref="D1:E1"/>
    <mergeCell ref="F1:G1"/>
    <mergeCell ref="K10:M10"/>
    <mergeCell ref="N10:P10"/>
    <mergeCell ref="K11:P11"/>
  </mergeCells>
  <pageMargins left="0.45" right="0.4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DE84-2555-48E5-AAF1-EA370FAD5374}">
  <dimension ref="A1:P13"/>
  <sheetViews>
    <sheetView zoomScale="70" zoomScaleNormal="70" workbookViewId="0">
      <selection activeCell="B3" sqref="B3:G9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27" customHeight="1" x14ac:dyDescent="0.25">
      <c r="A1" s="23" t="s">
        <v>1</v>
      </c>
      <c r="B1" s="24"/>
      <c r="C1" s="4">
        <f>K12</f>
        <v>312</v>
      </c>
      <c r="D1" s="23" t="s">
        <v>3</v>
      </c>
      <c r="E1" s="24"/>
      <c r="F1" s="23">
        <f>K11</f>
        <v>41</v>
      </c>
      <c r="G1" s="24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7" t="s">
        <v>4</v>
      </c>
      <c r="K2" s="18" t="s">
        <v>66</v>
      </c>
      <c r="L2" s="9" t="s">
        <v>132</v>
      </c>
      <c r="M2" s="18" t="s">
        <v>66</v>
      </c>
      <c r="N2" s="9" t="s">
        <v>132</v>
      </c>
      <c r="O2" s="18" t="s">
        <v>66</v>
      </c>
      <c r="P2" s="9" t="s">
        <v>132</v>
      </c>
    </row>
    <row r="3" spans="1:16" ht="85.15" customHeight="1" x14ac:dyDescent="0.25">
      <c r="A3" s="2">
        <v>1</v>
      </c>
      <c r="B3" s="6" t="s">
        <v>2</v>
      </c>
      <c r="C3" s="1" t="s">
        <v>469</v>
      </c>
      <c r="D3" s="1" t="s">
        <v>470</v>
      </c>
      <c r="E3" s="1" t="s">
        <v>471</v>
      </c>
      <c r="F3" s="1" t="s">
        <v>472</v>
      </c>
      <c r="G3" s="1" t="s">
        <v>473</v>
      </c>
      <c r="J3" s="17">
        <v>1</v>
      </c>
      <c r="K3" s="7"/>
      <c r="L3" s="8" t="s">
        <v>171</v>
      </c>
      <c r="M3" s="8" t="s">
        <v>172</v>
      </c>
      <c r="N3" s="8" t="s">
        <v>173</v>
      </c>
      <c r="O3" s="8" t="s">
        <v>174</v>
      </c>
      <c r="P3" s="8" t="s">
        <v>175</v>
      </c>
    </row>
    <row r="4" spans="1:16" ht="85.15" customHeight="1" x14ac:dyDescent="0.25">
      <c r="A4" s="2">
        <v>2</v>
      </c>
      <c r="B4" s="1" t="s">
        <v>474</v>
      </c>
      <c r="C4" s="1" t="s">
        <v>475</v>
      </c>
      <c r="D4" s="1" t="s">
        <v>476</v>
      </c>
      <c r="E4" s="1" t="s">
        <v>477</v>
      </c>
      <c r="F4" s="1" t="s">
        <v>478</v>
      </c>
      <c r="G4" s="1" t="s">
        <v>479</v>
      </c>
      <c r="J4" s="17">
        <v>2</v>
      </c>
      <c r="K4" s="8" t="s">
        <v>176</v>
      </c>
      <c r="L4" s="8" t="s">
        <v>177</v>
      </c>
      <c r="M4" s="8" t="s">
        <v>178</v>
      </c>
      <c r="N4" s="8" t="s">
        <v>179</v>
      </c>
      <c r="O4" s="8" t="s">
        <v>180</v>
      </c>
      <c r="P4" s="8" t="s">
        <v>181</v>
      </c>
    </row>
    <row r="5" spans="1:16" ht="85.15" customHeight="1" x14ac:dyDescent="0.25">
      <c r="A5" s="2">
        <v>3</v>
      </c>
      <c r="B5" s="1" t="s">
        <v>480</v>
      </c>
      <c r="C5" s="1" t="s">
        <v>481</v>
      </c>
      <c r="D5" s="1" t="s">
        <v>482</v>
      </c>
      <c r="E5" s="1" t="s">
        <v>483</v>
      </c>
      <c r="F5" s="1" t="s">
        <v>484</v>
      </c>
      <c r="G5" s="1" t="s">
        <v>485</v>
      </c>
      <c r="J5" s="17">
        <v>3</v>
      </c>
      <c r="K5" s="8" t="s">
        <v>182</v>
      </c>
      <c r="L5" s="8" t="s">
        <v>183</v>
      </c>
      <c r="M5" s="8" t="s">
        <v>184</v>
      </c>
      <c r="N5" s="8" t="s">
        <v>185</v>
      </c>
      <c r="O5" s="8" t="s">
        <v>186</v>
      </c>
      <c r="P5" s="8" t="s">
        <v>187</v>
      </c>
    </row>
    <row r="6" spans="1:16" ht="85.15" customHeight="1" x14ac:dyDescent="0.25">
      <c r="A6" s="2">
        <v>4</v>
      </c>
      <c r="B6" s="1" t="s">
        <v>486</v>
      </c>
      <c r="C6" s="1" t="s">
        <v>487</v>
      </c>
      <c r="D6" s="1" t="s">
        <v>488</v>
      </c>
      <c r="E6" s="1" t="s">
        <v>489</v>
      </c>
      <c r="F6" s="1" t="s">
        <v>490</v>
      </c>
      <c r="G6" s="1" t="s">
        <v>491</v>
      </c>
      <c r="J6" s="17">
        <v>4</v>
      </c>
      <c r="K6" s="8" t="s">
        <v>188</v>
      </c>
      <c r="L6" s="8" t="s">
        <v>189</v>
      </c>
      <c r="M6" s="8" t="s">
        <v>190</v>
      </c>
      <c r="N6" s="8" t="s">
        <v>191</v>
      </c>
      <c r="O6" s="8" t="s">
        <v>192</v>
      </c>
      <c r="P6" s="8" t="s">
        <v>193</v>
      </c>
    </row>
    <row r="7" spans="1:16" ht="85.15" customHeight="1" x14ac:dyDescent="0.25">
      <c r="A7" s="2">
        <v>5</v>
      </c>
      <c r="B7" s="1" t="s">
        <v>492</v>
      </c>
      <c r="C7" s="1" t="s">
        <v>493</v>
      </c>
      <c r="D7" s="1" t="s">
        <v>494</v>
      </c>
      <c r="E7" s="1" t="s">
        <v>495</v>
      </c>
      <c r="F7" s="1" t="s">
        <v>496</v>
      </c>
      <c r="G7" s="1" t="s">
        <v>497</v>
      </c>
      <c r="J7" s="17">
        <v>5</v>
      </c>
      <c r="K7" s="8" t="s">
        <v>194</v>
      </c>
      <c r="L7" s="8" t="s">
        <v>195</v>
      </c>
      <c r="M7" s="8" t="s">
        <v>196</v>
      </c>
      <c r="N7" s="8" t="s">
        <v>197</v>
      </c>
      <c r="O7" s="8" t="s">
        <v>198</v>
      </c>
      <c r="P7" s="8" t="s">
        <v>199</v>
      </c>
    </row>
    <row r="8" spans="1:16" ht="85.15" customHeight="1" x14ac:dyDescent="0.25">
      <c r="A8" s="2">
        <v>6</v>
      </c>
      <c r="B8" s="1" t="s">
        <v>498</v>
      </c>
      <c r="C8" s="1" t="s">
        <v>499</v>
      </c>
      <c r="D8" s="1" t="s">
        <v>500</v>
      </c>
      <c r="E8" s="1" t="s">
        <v>501</v>
      </c>
      <c r="F8" s="1" t="s">
        <v>502</v>
      </c>
      <c r="G8" s="1" t="s">
        <v>503</v>
      </c>
      <c r="J8" s="17">
        <v>6</v>
      </c>
      <c r="K8" s="8" t="s">
        <v>200</v>
      </c>
      <c r="L8" s="8" t="s">
        <v>201</v>
      </c>
      <c r="M8" s="8" t="s">
        <v>202</v>
      </c>
      <c r="N8" s="8" t="s">
        <v>203</v>
      </c>
      <c r="O8" s="8" t="s">
        <v>204</v>
      </c>
      <c r="P8" s="8" t="s">
        <v>205</v>
      </c>
    </row>
    <row r="9" spans="1:16" ht="85.15" customHeight="1" x14ac:dyDescent="0.25">
      <c r="A9" s="2">
        <v>7</v>
      </c>
      <c r="B9" s="1" t="s">
        <v>504</v>
      </c>
      <c r="C9" s="1" t="s">
        <v>505</v>
      </c>
      <c r="D9" s="1" t="s">
        <v>506</v>
      </c>
      <c r="E9" s="1" t="s">
        <v>507</v>
      </c>
      <c r="F9" s="1" t="s">
        <v>508</v>
      </c>
      <c r="G9" s="1" t="s">
        <v>509</v>
      </c>
      <c r="J9" s="17">
        <v>7</v>
      </c>
      <c r="K9" s="8" t="s">
        <v>206</v>
      </c>
      <c r="L9" s="8" t="s">
        <v>207</v>
      </c>
      <c r="M9" s="8" t="s">
        <v>208</v>
      </c>
      <c r="N9" s="8" t="s">
        <v>209</v>
      </c>
      <c r="O9" s="8" t="s">
        <v>210</v>
      </c>
      <c r="P9" s="8" t="s">
        <v>211</v>
      </c>
    </row>
    <row r="10" spans="1:16" ht="15.75" x14ac:dyDescent="0.25">
      <c r="J10" s="17" t="s">
        <v>5</v>
      </c>
      <c r="K10" s="25">
        <f>COUNTA(K3:M9)</f>
        <v>20</v>
      </c>
      <c r="L10" s="25"/>
      <c r="M10" s="25"/>
      <c r="N10" s="25">
        <f>COUNTA(N3:P9)</f>
        <v>21</v>
      </c>
      <c r="O10" s="25"/>
      <c r="P10" s="25"/>
    </row>
    <row r="11" spans="1:16" ht="14.45" customHeight="1" x14ac:dyDescent="0.25">
      <c r="J11" s="17" t="s">
        <v>6</v>
      </c>
      <c r="K11" s="22">
        <f>K10+N10</f>
        <v>41</v>
      </c>
      <c r="L11" s="22"/>
      <c r="M11" s="22"/>
      <c r="N11" s="22"/>
      <c r="O11" s="22"/>
      <c r="P11" s="22"/>
    </row>
    <row r="12" spans="1:16" ht="14.45" customHeight="1" x14ac:dyDescent="0.25">
      <c r="J12" s="5" t="s">
        <v>7</v>
      </c>
      <c r="K12" s="22">
        <v>312</v>
      </c>
      <c r="L12" s="22"/>
      <c r="M12" s="22"/>
      <c r="N12" s="22"/>
      <c r="O12" s="22"/>
      <c r="P12" s="22"/>
    </row>
    <row r="13" spans="1:16" ht="15.75" x14ac:dyDescent="0.25">
      <c r="J13" s="17" t="s">
        <v>8</v>
      </c>
      <c r="K13" s="22" t="s">
        <v>9</v>
      </c>
      <c r="L13" s="22"/>
      <c r="M13" s="22"/>
      <c r="N13" s="22"/>
      <c r="O13" s="22"/>
      <c r="P13" s="22"/>
    </row>
  </sheetData>
  <mergeCells count="8">
    <mergeCell ref="K11:P11"/>
    <mergeCell ref="K12:P12"/>
    <mergeCell ref="K13:P13"/>
    <mergeCell ref="A1:B1"/>
    <mergeCell ref="D1:E1"/>
    <mergeCell ref="F1:G1"/>
    <mergeCell ref="K10:M10"/>
    <mergeCell ref="N10:P10"/>
  </mergeCells>
  <pageMargins left="0.45" right="0.45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92BA2-6AA6-425F-B4AD-BA67A78DCA1C}">
  <dimension ref="A1:P13"/>
  <sheetViews>
    <sheetView tabSelected="1" zoomScale="70" zoomScaleNormal="70" workbookViewId="0">
      <selection activeCell="B3" sqref="B3:G9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27" customHeight="1" x14ac:dyDescent="0.25">
      <c r="A1" s="23" t="s">
        <v>1</v>
      </c>
      <c r="B1" s="24"/>
      <c r="C1" s="4">
        <f>K12</f>
        <v>313</v>
      </c>
      <c r="D1" s="23" t="s">
        <v>3</v>
      </c>
      <c r="E1" s="24"/>
      <c r="F1" s="23">
        <f>K11</f>
        <v>39</v>
      </c>
      <c r="G1" s="24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7" t="s">
        <v>4</v>
      </c>
      <c r="K2" s="18" t="s">
        <v>212</v>
      </c>
      <c r="L2" s="9" t="s">
        <v>132</v>
      </c>
      <c r="M2" s="18" t="s">
        <v>212</v>
      </c>
      <c r="N2" s="9" t="s">
        <v>10</v>
      </c>
      <c r="O2" s="18" t="s">
        <v>212</v>
      </c>
      <c r="P2" s="9" t="s">
        <v>212</v>
      </c>
    </row>
    <row r="3" spans="1:16" ht="85.15" customHeight="1" x14ac:dyDescent="0.25">
      <c r="A3" s="2">
        <v>1</v>
      </c>
      <c r="B3" s="6" t="s">
        <v>2</v>
      </c>
      <c r="C3" s="1" t="s">
        <v>510</v>
      </c>
      <c r="D3" s="1" t="s">
        <v>511</v>
      </c>
      <c r="E3" s="1" t="s">
        <v>512</v>
      </c>
      <c r="F3" s="1" t="s">
        <v>513</v>
      </c>
      <c r="G3" s="1" t="s">
        <v>514</v>
      </c>
      <c r="J3" s="17">
        <v>1</v>
      </c>
      <c r="K3" s="7"/>
      <c r="L3" s="8" t="s">
        <v>213</v>
      </c>
      <c r="M3" s="8" t="s">
        <v>214</v>
      </c>
      <c r="N3" s="14">
        <v>765735</v>
      </c>
      <c r="O3" s="8" t="s">
        <v>215</v>
      </c>
      <c r="P3" s="8" t="s">
        <v>216</v>
      </c>
    </row>
    <row r="4" spans="1:16" ht="85.15" customHeight="1" x14ac:dyDescent="0.25">
      <c r="A4" s="2">
        <v>2</v>
      </c>
      <c r="B4" s="1" t="s">
        <v>515</v>
      </c>
      <c r="C4" s="1" t="s">
        <v>516</v>
      </c>
      <c r="D4" s="1" t="s">
        <v>517</v>
      </c>
      <c r="E4" s="1" t="s">
        <v>518</v>
      </c>
      <c r="F4" s="1" t="s">
        <v>519</v>
      </c>
      <c r="G4" s="1" t="s">
        <v>520</v>
      </c>
      <c r="J4" s="17">
        <v>2</v>
      </c>
      <c r="K4" s="21">
        <v>248310</v>
      </c>
      <c r="L4" s="8" t="s">
        <v>217</v>
      </c>
      <c r="M4" s="8" t="s">
        <v>218</v>
      </c>
      <c r="N4" s="14">
        <v>861823</v>
      </c>
      <c r="O4" s="8" t="s">
        <v>219</v>
      </c>
      <c r="P4" s="8" t="s">
        <v>220</v>
      </c>
    </row>
    <row r="5" spans="1:16" ht="85.15" customHeight="1" x14ac:dyDescent="0.25">
      <c r="A5" s="2">
        <v>3</v>
      </c>
      <c r="B5" s="1" t="s">
        <v>521</v>
      </c>
      <c r="C5" s="1" t="s">
        <v>522</v>
      </c>
      <c r="D5" s="1" t="s">
        <v>523</v>
      </c>
      <c r="E5" s="1" t="s">
        <v>524</v>
      </c>
      <c r="F5" s="1" t="s">
        <v>525</v>
      </c>
      <c r="G5" s="1" t="s">
        <v>526</v>
      </c>
      <c r="J5" s="17">
        <v>3</v>
      </c>
      <c r="K5" s="8">
        <v>248319</v>
      </c>
      <c r="L5" s="8" t="s">
        <v>221</v>
      </c>
      <c r="M5" s="8" t="s">
        <v>222</v>
      </c>
      <c r="N5" s="14" t="s">
        <v>223</v>
      </c>
      <c r="O5" s="8" t="s">
        <v>224</v>
      </c>
      <c r="P5" s="8" t="s">
        <v>225</v>
      </c>
    </row>
    <row r="6" spans="1:16" ht="85.15" customHeight="1" x14ac:dyDescent="0.25">
      <c r="A6" s="2">
        <v>4</v>
      </c>
      <c r="B6" s="1" t="s">
        <v>527</v>
      </c>
      <c r="C6" s="1" t="s">
        <v>528</v>
      </c>
      <c r="D6" s="1" t="s">
        <v>529</v>
      </c>
      <c r="E6" s="1" t="s">
        <v>530</v>
      </c>
      <c r="F6" s="1" t="s">
        <v>531</v>
      </c>
      <c r="G6" s="1" t="s">
        <v>532</v>
      </c>
      <c r="J6" s="17">
        <v>4</v>
      </c>
      <c r="K6" s="11" t="s">
        <v>226</v>
      </c>
      <c r="L6" s="8" t="s">
        <v>227</v>
      </c>
      <c r="M6" s="8" t="s">
        <v>228</v>
      </c>
      <c r="N6" s="14" t="s">
        <v>229</v>
      </c>
      <c r="O6" s="8" t="s">
        <v>230</v>
      </c>
      <c r="P6" s="8" t="s">
        <v>231</v>
      </c>
    </row>
    <row r="7" spans="1:16" ht="85.15" customHeight="1" x14ac:dyDescent="0.25">
      <c r="A7" s="2">
        <v>5</v>
      </c>
      <c r="B7" s="1" t="s">
        <v>533</v>
      </c>
      <c r="C7" s="1" t="s">
        <v>534</v>
      </c>
      <c r="D7" s="1" t="s">
        <v>535</v>
      </c>
      <c r="E7" s="1" t="s">
        <v>536</v>
      </c>
      <c r="F7" s="1" t="s">
        <v>537</v>
      </c>
      <c r="G7" s="1" t="s">
        <v>538</v>
      </c>
      <c r="J7" s="17">
        <v>5</v>
      </c>
      <c r="K7" s="10" t="s">
        <v>232</v>
      </c>
      <c r="L7" s="8" t="s">
        <v>233</v>
      </c>
      <c r="M7" s="8" t="s">
        <v>234</v>
      </c>
      <c r="N7" s="14" t="s">
        <v>235</v>
      </c>
      <c r="O7" s="8" t="s">
        <v>236</v>
      </c>
      <c r="P7" s="8" t="s">
        <v>237</v>
      </c>
    </row>
    <row r="8" spans="1:16" ht="85.15" customHeight="1" x14ac:dyDescent="0.25">
      <c r="A8" s="2">
        <v>6</v>
      </c>
      <c r="B8" s="1" t="s">
        <v>539</v>
      </c>
      <c r="C8" s="1" t="s">
        <v>540</v>
      </c>
      <c r="D8" s="1" t="s">
        <v>541</v>
      </c>
      <c r="E8" s="1" t="s">
        <v>448</v>
      </c>
      <c r="F8" s="1" t="s">
        <v>542</v>
      </c>
      <c r="G8" s="1" t="s">
        <v>543</v>
      </c>
      <c r="J8" s="17">
        <v>6</v>
      </c>
      <c r="K8" s="8" t="s">
        <v>238</v>
      </c>
      <c r="L8" s="8">
        <v>175682</v>
      </c>
      <c r="M8" s="8" t="s">
        <v>239</v>
      </c>
      <c r="N8" s="15"/>
      <c r="O8" s="8" t="s">
        <v>240</v>
      </c>
      <c r="P8" s="8" t="s">
        <v>241</v>
      </c>
    </row>
    <row r="9" spans="1:16" ht="85.15" customHeight="1" x14ac:dyDescent="0.25">
      <c r="A9" s="2">
        <v>7</v>
      </c>
      <c r="B9" s="1" t="s">
        <v>544</v>
      </c>
      <c r="C9" s="1" t="s">
        <v>545</v>
      </c>
      <c r="D9" s="1" t="s">
        <v>546</v>
      </c>
      <c r="E9" s="1" t="s">
        <v>448</v>
      </c>
      <c r="F9" s="1" t="s">
        <v>547</v>
      </c>
      <c r="G9" s="1" t="s">
        <v>548</v>
      </c>
      <c r="J9" s="17">
        <v>7</v>
      </c>
      <c r="K9" s="8" t="s">
        <v>242</v>
      </c>
      <c r="L9" s="8">
        <v>176439</v>
      </c>
      <c r="M9" s="8" t="s">
        <v>243</v>
      </c>
      <c r="N9" s="16"/>
      <c r="O9" s="8" t="s">
        <v>244</v>
      </c>
      <c r="P9" s="8">
        <v>862135</v>
      </c>
    </row>
    <row r="10" spans="1:16" ht="15.75" x14ac:dyDescent="0.25">
      <c r="J10" s="17" t="s">
        <v>5</v>
      </c>
      <c r="K10" s="25">
        <f>COUNTA(K3:M9)</f>
        <v>20</v>
      </c>
      <c r="L10" s="25"/>
      <c r="M10" s="25"/>
      <c r="N10" s="25">
        <f>COUNTA(N3:P9)</f>
        <v>19</v>
      </c>
      <c r="O10" s="25"/>
      <c r="P10" s="25"/>
    </row>
    <row r="11" spans="1:16" ht="14.45" customHeight="1" x14ac:dyDescent="0.25">
      <c r="J11" s="17" t="s">
        <v>6</v>
      </c>
      <c r="K11" s="22">
        <f>K10+N10</f>
        <v>39</v>
      </c>
      <c r="L11" s="22"/>
      <c r="M11" s="22"/>
      <c r="N11" s="22"/>
      <c r="O11" s="22"/>
      <c r="P11" s="22"/>
    </row>
    <row r="12" spans="1:16" ht="14.45" customHeight="1" x14ac:dyDescent="0.25">
      <c r="J12" s="5" t="s">
        <v>7</v>
      </c>
      <c r="K12" s="22">
        <v>313</v>
      </c>
      <c r="L12" s="22"/>
      <c r="M12" s="22"/>
      <c r="N12" s="22"/>
      <c r="O12" s="22"/>
      <c r="P12" s="22"/>
    </row>
    <row r="13" spans="1:16" ht="15.75" x14ac:dyDescent="0.25">
      <c r="J13" s="17" t="s">
        <v>8</v>
      </c>
      <c r="K13" s="22" t="s">
        <v>9</v>
      </c>
      <c r="L13" s="22"/>
      <c r="M13" s="22"/>
      <c r="N13" s="22"/>
      <c r="O13" s="22"/>
      <c r="P13" s="22"/>
    </row>
  </sheetData>
  <mergeCells count="8">
    <mergeCell ref="K11:P11"/>
    <mergeCell ref="K12:P12"/>
    <mergeCell ref="K13:P13"/>
    <mergeCell ref="A1:B1"/>
    <mergeCell ref="D1:E1"/>
    <mergeCell ref="F1:G1"/>
    <mergeCell ref="K10:M10"/>
    <mergeCell ref="N10:P10"/>
  </mergeCells>
  <pageMargins left="0.45" right="0.4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115-47</vt:lpstr>
      <vt:lpstr>213-47</vt:lpstr>
      <vt:lpstr>214-47 </vt:lpstr>
      <vt:lpstr>215-47</vt:lpstr>
      <vt:lpstr>112-41</vt:lpstr>
      <vt:lpstr>311-41</vt:lpstr>
      <vt:lpstr>312-41</vt:lpstr>
      <vt:lpstr>313-41</vt:lpstr>
      <vt:lpstr>'112-41'!Print_Area</vt:lpstr>
      <vt:lpstr>'115-47'!Print_Area</vt:lpstr>
      <vt:lpstr>'213-47'!Print_Area</vt:lpstr>
      <vt:lpstr>'214-47 '!Print_Area</vt:lpstr>
      <vt:lpstr>'215-47'!Print_Area</vt:lpstr>
      <vt:lpstr>'311-41'!Print_Area</vt:lpstr>
      <vt:lpstr>'312-41'!Print_Area</vt:lpstr>
      <vt:lpstr>'313-41'!Print_Area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 Mohammad Ashraful</dc:creator>
  <cp:lastModifiedBy>Sheikh Mohammad Ashraful</cp:lastModifiedBy>
  <cp:lastPrinted>2026-06-03T07:35:31Z</cp:lastPrinted>
  <dcterms:created xsi:type="dcterms:W3CDTF">2026-01-08T11:23:12Z</dcterms:created>
  <dcterms:modified xsi:type="dcterms:W3CDTF">2026-06-05T03:16:31Z</dcterms:modified>
</cp:coreProperties>
</file>