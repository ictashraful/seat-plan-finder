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ontrol Room NPI\MID TERM JUNE-2026\SEAT PLAN MID TERM JUNE-2026\Seat Planning Python\"/>
    </mc:Choice>
  </mc:AlternateContent>
  <xr:revisionPtr revIDLastSave="0" documentId="13_ncr:1_{FCB554FB-CB88-4EC3-B6D6-42FAE3E3DA10}" xr6:coauthVersionLast="47" xr6:coauthVersionMax="47" xr10:uidLastSave="{00000000-0000-0000-0000-000000000000}"/>
  <bookViews>
    <workbookView xWindow="-120" yWindow="-120" windowWidth="20730" windowHeight="11160" activeTab="5" xr2:uid="{668686C8-A2A0-4977-A14D-C803AB3F7302}"/>
  </bookViews>
  <sheets>
    <sheet name="115-47" sheetId="5" r:id="rId1"/>
    <sheet name="213-47" sheetId="7" r:id="rId2"/>
    <sheet name="214-47 " sheetId="8" r:id="rId3"/>
    <sheet name="215-47" sheetId="9" r:id="rId4"/>
    <sheet name="112-41" sheetId="6" r:id="rId5"/>
    <sheet name="311-41" sheetId="10" r:id="rId6"/>
    <sheet name="312-41" sheetId="11" r:id="rId7"/>
    <sheet name="313-41" sheetId="12" r:id="rId8"/>
    <sheet name="411-41" sheetId="13" r:id="rId9"/>
  </sheets>
  <definedNames>
    <definedName name="_xlnm.Print_Area" localSheetId="4">'112-41'!$A$1:$G$9</definedName>
    <definedName name="_xlnm.Print_Area" localSheetId="0">'115-47'!$A$1:$G$10</definedName>
    <definedName name="_xlnm.Print_Area" localSheetId="1">'213-47'!$A$1:$G$10</definedName>
    <definedName name="_xlnm.Print_Area" localSheetId="2">'214-47 '!$A$1:$G$10</definedName>
    <definedName name="_xlnm.Print_Area" localSheetId="3">'215-47'!$A$1:$G$10</definedName>
    <definedName name="_xlnm.Print_Area" localSheetId="5">'311-41'!$A$1:$G$9</definedName>
    <definedName name="_xlnm.Print_Area" localSheetId="6">'312-41'!$A$1:$G$9</definedName>
    <definedName name="_xlnm.Print_Area" localSheetId="7">'313-41'!$A$1:$G$9</definedName>
    <definedName name="_xlnm.Print_Area" localSheetId="8">'411-41'!$A$1:$G$9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13" l="1"/>
  <c r="N10" i="13"/>
  <c r="K11" i="13"/>
  <c r="K10" i="12"/>
  <c r="N10" i="12"/>
  <c r="K11" i="12"/>
  <c r="N11" i="5" l="1"/>
  <c r="K11" i="5"/>
  <c r="K12" i="5" s="1"/>
  <c r="N10" i="11"/>
  <c r="K10" i="11"/>
  <c r="K11" i="11" s="1"/>
  <c r="N10" i="10"/>
  <c r="K11" i="10" s="1"/>
  <c r="K10" i="10"/>
  <c r="N10" i="6"/>
  <c r="K10" i="6"/>
  <c r="K11" i="6" s="1"/>
  <c r="N11" i="9"/>
  <c r="K11" i="9"/>
  <c r="K12" i="9" s="1"/>
  <c r="N11" i="8"/>
  <c r="K11" i="8"/>
  <c r="K12" i="8" s="1"/>
  <c r="N11" i="7"/>
  <c r="K11" i="7"/>
  <c r="K12" i="7" s="1"/>
  <c r="F1" i="12" l="1"/>
  <c r="F1" i="11"/>
  <c r="F1" i="10"/>
  <c r="F1" i="6"/>
  <c r="F1" i="9"/>
  <c r="F1" i="5"/>
  <c r="F1" i="13"/>
  <c r="C1" i="13"/>
  <c r="C1" i="12"/>
  <c r="C1" i="11"/>
  <c r="C1" i="10"/>
  <c r="C1" i="6"/>
  <c r="C1" i="9"/>
  <c r="C1" i="8"/>
  <c r="C1" i="7"/>
  <c r="C1" i="5"/>
  <c r="F1" i="8" l="1"/>
  <c r="F1" i="7"/>
</calcChain>
</file>

<file path=xl/sharedStrings.xml><?xml version="1.0" encoding="utf-8"?>
<sst xmlns="http://schemas.openxmlformats.org/spreadsheetml/2006/main" count="530" uniqueCount="395">
  <si>
    <t>SL</t>
  </si>
  <si>
    <t xml:space="preserve">ROOM </t>
  </si>
  <si>
    <t>DOOR</t>
  </si>
  <si>
    <t>TOTAL STUDENTS</t>
  </si>
  <si>
    <t>TECH</t>
  </si>
  <si>
    <t>TOTAL</t>
  </si>
  <si>
    <t>G.total</t>
  </si>
  <si>
    <t>ROOM NO</t>
  </si>
  <si>
    <t>2CT</t>
  </si>
  <si>
    <t>2CST</t>
  </si>
  <si>
    <t>2ET</t>
  </si>
  <si>
    <t>INSTITUTE</t>
  </si>
  <si>
    <t>NPI</t>
  </si>
  <si>
    <t>2FT</t>
  </si>
  <si>
    <t> 248539</t>
  </si>
  <si>
    <t>2RAC</t>
  </si>
  <si>
    <t>2ET
340125</t>
  </si>
  <si>
    <t>2CT
340050</t>
  </si>
  <si>
    <t>2ET
340134</t>
  </si>
  <si>
    <t>2CT
340059</t>
  </si>
  <si>
    <t>2ET
340141</t>
  </si>
  <si>
    <t>2CT
340041</t>
  </si>
  <si>
    <t>2ET
340126</t>
  </si>
  <si>
    <t>2CT
340051</t>
  </si>
  <si>
    <t>2ET
340135</t>
  </si>
  <si>
    <t>2CT
340063</t>
  </si>
  <si>
    <t>2ET
340143</t>
  </si>
  <si>
    <t>2CT
340042</t>
  </si>
  <si>
    <t>2ET
340128</t>
  </si>
  <si>
    <t>2CT
340052</t>
  </si>
  <si>
    <t>2ET
340136</t>
  </si>
  <si>
    <t>2CT
340065</t>
  </si>
  <si>
    <t>2ET
340145</t>
  </si>
  <si>
    <t>2CT
340043</t>
  </si>
  <si>
    <t>2ET
340129</t>
  </si>
  <si>
    <t>2CT
340054</t>
  </si>
  <si>
    <t>2ET
340137</t>
  </si>
  <si>
    <t>2CT
340067</t>
  </si>
  <si>
    <t>2ET
340146</t>
  </si>
  <si>
    <t>2CT
340045</t>
  </si>
  <si>
    <t>2ET
340130</t>
  </si>
  <si>
    <t>2CT
340055</t>
  </si>
  <si>
    <t>2ET
340138</t>
  </si>
  <si>
    <t>2CT
340068</t>
  </si>
  <si>
    <t>2ET
340147</t>
  </si>
  <si>
    <t>2CT
340048</t>
  </si>
  <si>
    <t>2ET
340131</t>
  </si>
  <si>
    <t>2CT
340056</t>
  </si>
  <si>
    <t>2ET
340139</t>
  </si>
  <si>
    <t>2CT
340070</t>
  </si>
  <si>
    <t>2ET
340149</t>
  </si>
  <si>
    <t>2CT
340049</t>
  </si>
  <si>
    <t>2ET
340132</t>
  </si>
  <si>
    <t>2CT
340057</t>
  </si>
  <si>
    <t>2ET
340140</t>
  </si>
  <si>
    <t>2CT
340071</t>
  </si>
  <si>
    <t>2ET
340150</t>
  </si>
  <si>
    <t>2CST
340346</t>
  </si>
  <si>
    <t>2CT
339909</t>
  </si>
  <si>
    <t>2CST
340354</t>
  </si>
  <si>
    <t>2CT
339918</t>
  </si>
  <si>
    <t>2CST
340365</t>
  </si>
  <si>
    <t>2CT
339901</t>
  </si>
  <si>
    <t>2CST
340347</t>
  </si>
  <si>
    <t>2CT
339911</t>
  </si>
  <si>
    <t>2CST
340355</t>
  </si>
  <si>
    <t>2CT
339919</t>
  </si>
  <si>
    <t>2CST
340367</t>
  </si>
  <si>
    <t>2CT
339903</t>
  </si>
  <si>
    <t>2CST
340348</t>
  </si>
  <si>
    <t>2CT
339912</t>
  </si>
  <si>
    <t>2CST
340356</t>
  </si>
  <si>
    <t>2CT
339920</t>
  </si>
  <si>
    <t>2CST
340368</t>
  </si>
  <si>
    <t>2CT
339904</t>
  </si>
  <si>
    <t>2CST
340349</t>
  </si>
  <si>
    <t>2CT
339913</t>
  </si>
  <si>
    <t>2CST
340357</t>
  </si>
  <si>
    <t>2CT
339921</t>
  </si>
  <si>
    <t>2CST
340369</t>
  </si>
  <si>
    <t>2CT
339905</t>
  </si>
  <si>
    <t>2CST
340350</t>
  </si>
  <si>
    <t>2CT
339914</t>
  </si>
  <si>
    <t>2CST
340358</t>
  </si>
  <si>
    <t>2CT
339922</t>
  </si>
  <si>
    <t>2CST
340370</t>
  </si>
  <si>
    <t>2CT
339906</t>
  </si>
  <si>
    <t>2CST
340351</t>
  </si>
  <si>
    <t>2CT
339915</t>
  </si>
  <si>
    <t>2CST
340359</t>
  </si>
  <si>
    <t>2CT
339923</t>
  </si>
  <si>
    <t>2CST
340371</t>
  </si>
  <si>
    <t>2CT
339907</t>
  </si>
  <si>
    <t>2CST
340352</t>
  </si>
  <si>
    <t>2CT
339916</t>
  </si>
  <si>
    <t>2CST
340362</t>
  </si>
  <si>
    <t>2CT
339924</t>
  </si>
  <si>
    <t>2CST
340375</t>
  </si>
  <si>
    <t>2CT
339908</t>
  </si>
  <si>
    <t>2CST
340353</t>
  </si>
  <si>
    <t>2CT
339917</t>
  </si>
  <si>
    <t>2CST
340363</t>
  </si>
  <si>
    <t>2CT
339926</t>
  </si>
  <si>
    <t>2CST
340376</t>
  </si>
  <si>
    <t>2CST
340377</t>
  </si>
  <si>
    <t>2CT
339950</t>
  </si>
  <si>
    <t>2CST
340386</t>
  </si>
  <si>
    <t>2CT
339964</t>
  </si>
  <si>
    <t>2CST
340394</t>
  </si>
  <si>
    <t>2CT
339929</t>
  </si>
  <si>
    <t>2CST
340378</t>
  </si>
  <si>
    <t>2CT
339954</t>
  </si>
  <si>
    <t>2CST
340387</t>
  </si>
  <si>
    <t>2CT
339965</t>
  </si>
  <si>
    <t>2CST
340395</t>
  </si>
  <si>
    <t>2CT
339934</t>
  </si>
  <si>
    <t>2CST
340379</t>
  </si>
  <si>
    <t>2CT
339955</t>
  </si>
  <si>
    <t>2CST
340388</t>
  </si>
  <si>
    <t>2CT
339966</t>
  </si>
  <si>
    <t>2CST
340397</t>
  </si>
  <si>
    <t>2CT
339935</t>
  </si>
  <si>
    <t>2CST
340380</t>
  </si>
  <si>
    <t>2CT
339956</t>
  </si>
  <si>
    <t>2CST
340389</t>
  </si>
  <si>
    <t>2CT
339967</t>
  </si>
  <si>
    <t>2CST
340398</t>
  </si>
  <si>
    <t>2CT
339938</t>
  </si>
  <si>
    <t>2CST
340381</t>
  </si>
  <si>
    <t>2CT
339957</t>
  </si>
  <si>
    <t>2CST
340390</t>
  </si>
  <si>
    <t>2CT
339969</t>
  </si>
  <si>
    <t>2CST
340399</t>
  </si>
  <si>
    <t>2CT
339939</t>
  </si>
  <si>
    <t>2CST
340382</t>
  </si>
  <si>
    <t>2CT
339959</t>
  </si>
  <si>
    <t>2CST
340391</t>
  </si>
  <si>
    <t>2CT
339970</t>
  </si>
  <si>
    <t>2CST
340400</t>
  </si>
  <si>
    <t>2CT
339943</t>
  </si>
  <si>
    <t>2CST
340383</t>
  </si>
  <si>
    <t>2CT
339962</t>
  </si>
  <si>
    <t>2CST
340392</t>
  </si>
  <si>
    <t>2CT
339972</t>
  </si>
  <si>
    <t>2CST
340401</t>
  </si>
  <si>
    <t>2CT
339947</t>
  </si>
  <si>
    <t>2CST
340384</t>
  </si>
  <si>
    <t>2CT
339963</t>
  </si>
  <si>
    <t>2CST
340393</t>
  </si>
  <si>
    <t>2CT
339973</t>
  </si>
  <si>
    <t>2CST
340402</t>
  </si>
  <si>
    <t>2CST
340404</t>
  </si>
  <si>
    <t>2CT
339984</t>
  </si>
  <si>
    <t>2CST
340415</t>
  </si>
  <si>
    <t>2CT
339996</t>
  </si>
  <si>
    <t>2CST
340425</t>
  </si>
  <si>
    <t>2CT
339974</t>
  </si>
  <si>
    <t>2CST
340405</t>
  </si>
  <si>
    <t>2CT
339985</t>
  </si>
  <si>
    <t>2CST
340416</t>
  </si>
  <si>
    <t>2CT
339997</t>
  </si>
  <si>
    <t>2CST
340426</t>
  </si>
  <si>
    <t>2CT
339975</t>
  </si>
  <si>
    <t>2CST
340406</t>
  </si>
  <si>
    <t>2CT
339989</t>
  </si>
  <si>
    <t>2CST
340417</t>
  </si>
  <si>
    <t>2CT
339998</t>
  </si>
  <si>
    <t>2CST
340427</t>
  </si>
  <si>
    <t>2CT
339976</t>
  </si>
  <si>
    <t>2CST
340407</t>
  </si>
  <si>
    <t>2CT
339990</t>
  </si>
  <si>
    <t>2CST
340418</t>
  </si>
  <si>
    <t>2CT
340000</t>
  </si>
  <si>
    <t>2CST
340429</t>
  </si>
  <si>
    <t>2CT
339979</t>
  </si>
  <si>
    <t>2CST
340408</t>
  </si>
  <si>
    <t>2CT
339991</t>
  </si>
  <si>
    <t>2CST
340419</t>
  </si>
  <si>
    <t>2CT
340001</t>
  </si>
  <si>
    <t>2CST
340430</t>
  </si>
  <si>
    <t>2CT
339980</t>
  </si>
  <si>
    <t>2CST
340409</t>
  </si>
  <si>
    <t>2CT
339992</t>
  </si>
  <si>
    <t>2CST
340420</t>
  </si>
  <si>
    <t>2CT
340002</t>
  </si>
  <si>
    <t>2CST
340431</t>
  </si>
  <si>
    <t>2CT
339982</t>
  </si>
  <si>
    <t>2CST
340412</t>
  </si>
  <si>
    <t>2CT
339994</t>
  </si>
  <si>
    <t>2CST
340421</t>
  </si>
  <si>
    <t>2CT
340003</t>
  </si>
  <si>
    <t>2CST
340432</t>
  </si>
  <si>
    <t>2CT
339983</t>
  </si>
  <si>
    <t>2CST
340413</t>
  </si>
  <si>
    <t>2CT
339995</t>
  </si>
  <si>
    <t>2CST
340424</t>
  </si>
  <si>
    <t>2CT
340004</t>
  </si>
  <si>
    <t>2CST
340433</t>
  </si>
  <si>
    <t>2CST
340435</t>
  </si>
  <si>
    <t>2CT
340014</t>
  </si>
  <si>
    <t>2ET
330511</t>
  </si>
  <si>
    <t>2CT
340024</t>
  </si>
  <si>
    <t>2ET
340116</t>
  </si>
  <si>
    <t>2CT
340005</t>
  </si>
  <si>
    <t>2CST
340438</t>
  </si>
  <si>
    <t>2CT
340016</t>
  </si>
  <si>
    <t>2ET
340108</t>
  </si>
  <si>
    <t>2CT
340025</t>
  </si>
  <si>
    <t>2ET
340117</t>
  </si>
  <si>
    <t>2CT
340006</t>
  </si>
  <si>
    <t>2CST
340439</t>
  </si>
  <si>
    <t>2CT
340017</t>
  </si>
  <si>
    <t>2ET
340109</t>
  </si>
  <si>
    <t>2CT
340026</t>
  </si>
  <si>
    <t>2ET
340118</t>
  </si>
  <si>
    <t>2CT
340007</t>
  </si>
  <si>
    <t>2CST
340440</t>
  </si>
  <si>
    <t>2CT
340018</t>
  </si>
  <si>
    <t>2ET
340110</t>
  </si>
  <si>
    <t>2CT
340028</t>
  </si>
  <si>
    <t>2ET
340119</t>
  </si>
  <si>
    <t>2CT
340009</t>
  </si>
  <si>
    <t>2CST
340441</t>
  </si>
  <si>
    <t>2CT
340020</t>
  </si>
  <si>
    <t>2ET
340111</t>
  </si>
  <si>
    <t>2CT
340031</t>
  </si>
  <si>
    <t>2ET
340121</t>
  </si>
  <si>
    <t>2CT
340011</t>
  </si>
  <si>
    <t>2CST
340442</t>
  </si>
  <si>
    <t>2CT
340021</t>
  </si>
  <si>
    <t>2ET
340112</t>
  </si>
  <si>
    <t>2CT
340032</t>
  </si>
  <si>
    <t>2ET
340122</t>
  </si>
  <si>
    <t>2CT
340012</t>
  </si>
  <si>
    <t>2CST
340443</t>
  </si>
  <si>
    <t>2CT
340022</t>
  </si>
  <si>
    <t>2ET
340113</t>
  </si>
  <si>
    <t>2CT
340033</t>
  </si>
  <si>
    <t>2ET
340123</t>
  </si>
  <si>
    <t>2CT
340013</t>
  </si>
  <si>
    <t>2CST
248356</t>
  </si>
  <si>
    <t>2CT
340023</t>
  </si>
  <si>
    <t>2ET
340114</t>
  </si>
  <si>
    <t>2CT
340040</t>
  </si>
  <si>
    <t>2ET
340124</t>
  </si>
  <si>
    <t>2ET
340152</t>
  </si>
  <si>
    <t>2CT
340088</t>
  </si>
  <si>
    <t>2ET
340161</t>
  </si>
  <si>
    <t>2CT
340099</t>
  </si>
  <si>
    <t>2ET
340175</t>
  </si>
  <si>
    <t>2CT
340072</t>
  </si>
  <si>
    <t>2ET
340153</t>
  </si>
  <si>
    <t>2CT
340091</t>
  </si>
  <si>
    <t>2ET
340164</t>
  </si>
  <si>
    <t>2CT
340101</t>
  </si>
  <si>
    <t>2ET
340177</t>
  </si>
  <si>
    <t>2CT
340073</t>
  </si>
  <si>
    <t>2ET
340154</t>
  </si>
  <si>
    <t>2CT
340093</t>
  </si>
  <si>
    <t>2ET
340165</t>
  </si>
  <si>
    <t>2CT
248191</t>
  </si>
  <si>
    <t>2ET
340181</t>
  </si>
  <si>
    <t>2CT
340074</t>
  </si>
  <si>
    <t>2ET
340155</t>
  </si>
  <si>
    <t>2CT
340094</t>
  </si>
  <si>
    <t>2ET
340167</t>
  </si>
  <si>
    <t>2CT
248400</t>
  </si>
  <si>
    <t>2ET
340182</t>
  </si>
  <si>
    <t>2CT
340077</t>
  </si>
  <si>
    <t>2ET
340156</t>
  </si>
  <si>
    <t>2CT
340096</t>
  </si>
  <si>
    <t>2ET
340169</t>
  </si>
  <si>
    <t>2CT
248401</t>
  </si>
  <si>
    <t>2ET
340184</t>
  </si>
  <si>
    <t>2CT
340079</t>
  </si>
  <si>
    <t>2ET
340158</t>
  </si>
  <si>
    <t>2CT
340097</t>
  </si>
  <si>
    <t>2ET
340173</t>
  </si>
  <si>
    <t>2CT
248402</t>
  </si>
  <si>
    <t>2ET
340187</t>
  </si>
  <si>
    <t>2CT
340082</t>
  </si>
  <si>
    <t>2ET
340160</t>
  </si>
  <si>
    <t>2CT
340098</t>
  </si>
  <si>
    <t>2ET
340174</t>
  </si>
  <si>
    <t>2CT
248465</t>
  </si>
  <si>
    <t>2ET
340189</t>
  </si>
  <si>
    <t>2FT
340215</t>
  </si>
  <si>
    <t>2ET
340198</t>
  </si>
  <si>
    <t>2FT
340223</t>
  </si>
  <si>
    <t>2ET
340210</t>
  </si>
  <si>
    <t>2FT
340241</t>
  </si>
  <si>
    <t>2ET
340191</t>
  </si>
  <si>
    <t>2FT
340216</t>
  </si>
  <si>
    <t>2ET
340202</t>
  </si>
  <si>
    <t>2FT
340224</t>
  </si>
  <si>
    <t>2ET
340211</t>
  </si>
  <si>
    <t>2FT
340244</t>
  </si>
  <si>
    <t>2ET
340192</t>
  </si>
  <si>
    <t>2FT
340217</t>
  </si>
  <si>
    <t>2ET
340203</t>
  </si>
  <si>
    <t>2FT
340229</t>
  </si>
  <si>
    <t>2ET
 248539</t>
  </si>
  <si>
    <t>2FT
340246</t>
  </si>
  <si>
    <t>2ET
340194</t>
  </si>
  <si>
    <t>2FT
340218</t>
  </si>
  <si>
    <t>2ET
340204</t>
  </si>
  <si>
    <t>2FT
340231</t>
  </si>
  <si>
    <t xml:space="preserve">2ET
</t>
  </si>
  <si>
    <t>2FT
340249</t>
  </si>
  <si>
    <t>2ET
340195</t>
  </si>
  <si>
    <t>2FT
340220</t>
  </si>
  <si>
    <t>2ET
340205</t>
  </si>
  <si>
    <t>2FT
340232</t>
  </si>
  <si>
    <t>2FT
340250</t>
  </si>
  <si>
    <t>2ET
340196</t>
  </si>
  <si>
    <t>2FT
340221</t>
  </si>
  <si>
    <t>2ET
340206</t>
  </si>
  <si>
    <t>2FT
340233</t>
  </si>
  <si>
    <t>2FT
340251</t>
  </si>
  <si>
    <t>2ET
340197</t>
  </si>
  <si>
    <t>2FT
340222</t>
  </si>
  <si>
    <t>2ET
340207</t>
  </si>
  <si>
    <t>2FT
340238</t>
  </si>
  <si>
    <t>2FT
340252</t>
  </si>
  <si>
    <t>2RAC
340273</t>
  </si>
  <si>
    <t>2FT
340260</t>
  </si>
  <si>
    <t>2RAC
340283</t>
  </si>
  <si>
    <t>2FT
248277</t>
  </si>
  <si>
    <t>2RAC
340294</t>
  </si>
  <si>
    <t>2FT
340253</t>
  </si>
  <si>
    <t>2RAC
340274</t>
  </si>
  <si>
    <t>2FT
340261</t>
  </si>
  <si>
    <t>2RAC
340287</t>
  </si>
  <si>
    <t>2FT
248291</t>
  </si>
  <si>
    <t>2RAC
340295</t>
  </si>
  <si>
    <t>2FT
340254</t>
  </si>
  <si>
    <t>2RAC
340275</t>
  </si>
  <si>
    <t>2FT
340262</t>
  </si>
  <si>
    <t>2RAC
340288</t>
  </si>
  <si>
    <t xml:space="preserve">2FT
</t>
  </si>
  <si>
    <t>2RAC
340296</t>
  </si>
  <si>
    <t>2FT
340255</t>
  </si>
  <si>
    <t>2RAC
340277</t>
  </si>
  <si>
    <t>2FT
340265</t>
  </si>
  <si>
    <t>2RAC
340289</t>
  </si>
  <si>
    <t>2RAC
340303</t>
  </si>
  <si>
    <t>2FT
340257</t>
  </si>
  <si>
    <t>2RAC
340279</t>
  </si>
  <si>
    <t>2FT
340266</t>
  </si>
  <si>
    <t>2RAC
340290</t>
  </si>
  <si>
    <t>2RAC
340308</t>
  </si>
  <si>
    <t>2FT
340258</t>
  </si>
  <si>
    <t>2RAC
340280</t>
  </si>
  <si>
    <t>2FT
340268</t>
  </si>
  <si>
    <t>2RAC
340291</t>
  </si>
  <si>
    <t>2RAC
340309</t>
  </si>
  <si>
    <t>2FT
340259</t>
  </si>
  <si>
    <t>2RAC
340282</t>
  </si>
  <si>
    <t>2FT
248564</t>
  </si>
  <si>
    <t>2RAC
340292</t>
  </si>
  <si>
    <t>2RAC
340310</t>
  </si>
  <si>
    <t>2CT
248210</t>
  </si>
  <si>
    <t>2RAC
340324</t>
  </si>
  <si>
    <t>2ET
248217</t>
  </si>
  <si>
    <t>2RAC
340337</t>
  </si>
  <si>
    <t>2RAC
248318</t>
  </si>
  <si>
    <t>2RAC
340311</t>
  </si>
  <si>
    <t>2CT
339948</t>
  </si>
  <si>
    <t>2RAC
340330</t>
  </si>
  <si>
    <t>2ET
248508</t>
  </si>
  <si>
    <t>2RAC
340340</t>
  </si>
  <si>
    <t xml:space="preserve">2RAC
</t>
  </si>
  <si>
    <t>2RAC
340314</t>
  </si>
  <si>
    <t>2CT
339953</t>
  </si>
  <si>
    <t>2RAC
340331</t>
  </si>
  <si>
    <t>2ET
270914</t>
  </si>
  <si>
    <t>2RAC
340341</t>
  </si>
  <si>
    <t>2RAC
340319</t>
  </si>
  <si>
    <t>2CT
339960</t>
  </si>
  <si>
    <t>2RAC
340332</t>
  </si>
  <si>
    <t>2ET
340148</t>
  </si>
  <si>
    <t>2RAC
340342</t>
  </si>
  <si>
    <t>2RAC
340320</t>
  </si>
  <si>
    <t>2CT
340064</t>
  </si>
  <si>
    <t>2RAC
340333</t>
  </si>
  <si>
    <t>2ET
340180</t>
  </si>
  <si>
    <t>2RAC
340343</t>
  </si>
  <si>
    <t>2RAC
340321</t>
  </si>
  <si>
    <t>2CT
340092</t>
  </si>
  <si>
    <t>2RAC
340334</t>
  </si>
  <si>
    <t>2RAC
340344</t>
  </si>
  <si>
    <t>2RAC
340322</t>
  </si>
  <si>
    <t>2CT
248620</t>
  </si>
  <si>
    <t>2RAC
340335</t>
  </si>
  <si>
    <t>2RAC
358806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</si>
</sst>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name val="Times New Roman"/>
      <family val="1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Times New Roman"/>
      <family val="1"/>
    </font>
    <font>
      <sz val="12"/>
      <color rgb="FF444444"/>
      <name val="Verdana"/>
      <family val="2"/>
    </font>
    <font>
      <sz val="10"/>
      <color theme="1"/>
      <name val="Nikosh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3" borderId="2" xfId="0" applyFill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1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7F7A1-138D-47A8-87B4-510FE3AF8149}">
  <dimension ref="A1:P15"/>
  <sheetViews>
    <sheetView zoomScale="55" zoomScaleNormal="55" workbookViewId="0">
      <selection activeCell="AD3" sqref="AD3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28" t="s">
        <v>1</v>
      </c>
      <c r="B1" s="29"/>
      <c r="C1" s="3">
        <f>K13</f>
        <v>115</v>
      </c>
      <c r="D1" s="28" t="s">
        <v>3</v>
      </c>
      <c r="E1" s="29"/>
      <c r="F1" s="28">
        <f>K12</f>
        <v>47</v>
      </c>
      <c r="G1" s="29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4" t="s">
        <v>4</v>
      </c>
      <c r="K2" s="15" t="s">
        <v>8</v>
      </c>
      <c r="L2" s="17" t="s">
        <v>9</v>
      </c>
      <c r="M2" s="15" t="s">
        <v>8</v>
      </c>
      <c r="N2" s="17" t="s">
        <v>9</v>
      </c>
      <c r="O2" s="15" t="s">
        <v>8</v>
      </c>
      <c r="P2" s="17" t="s">
        <v>9</v>
      </c>
    </row>
    <row r="3" spans="1:16" ht="79.900000000000006" customHeight="1" x14ac:dyDescent="0.25">
      <c r="A3" s="2">
        <v>1</v>
      </c>
      <c r="B3" s="6" t="s">
        <v>2</v>
      </c>
      <c r="C3" s="1" t="s">
        <v>57</v>
      </c>
      <c r="D3" s="1" t="s">
        <v>58</v>
      </c>
      <c r="E3" s="1" t="s">
        <v>59</v>
      </c>
      <c r="F3" s="1" t="s">
        <v>60</v>
      </c>
      <c r="G3" s="1" t="s">
        <v>61</v>
      </c>
      <c r="J3" s="14">
        <v>1</v>
      </c>
      <c r="K3" s="7"/>
      <c r="L3" s="16">
        <v>340346</v>
      </c>
      <c r="M3" s="16">
        <v>339909</v>
      </c>
      <c r="N3" s="16">
        <v>340354</v>
      </c>
      <c r="O3" s="16">
        <v>339918</v>
      </c>
      <c r="P3" s="16">
        <v>340365</v>
      </c>
    </row>
    <row r="4" spans="1:16" ht="79.900000000000006" customHeight="1" x14ac:dyDescent="0.25">
      <c r="A4" s="2">
        <v>2</v>
      </c>
      <c r="B4" s="1" t="s">
        <v>62</v>
      </c>
      <c r="C4" s="1" t="s">
        <v>63</v>
      </c>
      <c r="D4" s="1" t="s">
        <v>64</v>
      </c>
      <c r="E4" s="1" t="s">
        <v>65</v>
      </c>
      <c r="F4" s="1" t="s">
        <v>66</v>
      </c>
      <c r="G4" s="1" t="s">
        <v>67</v>
      </c>
      <c r="J4" s="14">
        <v>2</v>
      </c>
      <c r="K4" s="16">
        <v>339901</v>
      </c>
      <c r="L4" s="16">
        <v>340347</v>
      </c>
      <c r="M4" s="16">
        <v>339911</v>
      </c>
      <c r="N4" s="16">
        <v>340355</v>
      </c>
      <c r="O4" s="16">
        <v>339919</v>
      </c>
      <c r="P4" s="16">
        <v>340367</v>
      </c>
    </row>
    <row r="5" spans="1:16" ht="79.900000000000006" customHeight="1" x14ac:dyDescent="0.25">
      <c r="A5" s="2">
        <v>3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72</v>
      </c>
      <c r="G5" s="1" t="s">
        <v>73</v>
      </c>
      <c r="J5" s="14">
        <v>3</v>
      </c>
      <c r="K5" s="16">
        <v>339903</v>
      </c>
      <c r="L5" s="16">
        <v>340348</v>
      </c>
      <c r="M5" s="16">
        <v>339912</v>
      </c>
      <c r="N5" s="16">
        <v>340356</v>
      </c>
      <c r="O5" s="16">
        <v>339920</v>
      </c>
      <c r="P5" s="16">
        <v>340368</v>
      </c>
    </row>
    <row r="6" spans="1:16" ht="79.900000000000006" customHeight="1" x14ac:dyDescent="0.25">
      <c r="A6" s="2">
        <v>4</v>
      </c>
      <c r="B6" s="1" t="s">
        <v>74</v>
      </c>
      <c r="C6" s="1" t="s">
        <v>75</v>
      </c>
      <c r="D6" s="1" t="s">
        <v>76</v>
      </c>
      <c r="E6" s="1" t="s">
        <v>77</v>
      </c>
      <c r="F6" s="1" t="s">
        <v>78</v>
      </c>
      <c r="G6" s="1" t="s">
        <v>79</v>
      </c>
      <c r="J6" s="14">
        <v>4</v>
      </c>
      <c r="K6" s="16">
        <v>339904</v>
      </c>
      <c r="L6" s="16">
        <v>340349</v>
      </c>
      <c r="M6" s="16">
        <v>339913</v>
      </c>
      <c r="N6" s="16">
        <v>340357</v>
      </c>
      <c r="O6" s="16">
        <v>339921</v>
      </c>
      <c r="P6" s="16">
        <v>340369</v>
      </c>
    </row>
    <row r="7" spans="1:16" ht="79.900000000000006" customHeight="1" x14ac:dyDescent="0.25">
      <c r="A7" s="2">
        <v>5</v>
      </c>
      <c r="B7" s="1" t="s">
        <v>80</v>
      </c>
      <c r="C7" s="1" t="s">
        <v>81</v>
      </c>
      <c r="D7" s="1" t="s">
        <v>82</v>
      </c>
      <c r="E7" s="1" t="s">
        <v>83</v>
      </c>
      <c r="F7" s="1" t="s">
        <v>84</v>
      </c>
      <c r="G7" s="1" t="s">
        <v>85</v>
      </c>
      <c r="J7" s="14">
        <v>5</v>
      </c>
      <c r="K7" s="16">
        <v>339905</v>
      </c>
      <c r="L7" s="16">
        <v>340350</v>
      </c>
      <c r="M7" s="16">
        <v>339914</v>
      </c>
      <c r="N7" s="16">
        <v>340358</v>
      </c>
      <c r="O7" s="16">
        <v>339922</v>
      </c>
      <c r="P7" s="16">
        <v>340370</v>
      </c>
    </row>
    <row r="8" spans="1:16" ht="79.900000000000006" customHeight="1" x14ac:dyDescent="0.25">
      <c r="A8" s="2">
        <v>6</v>
      </c>
      <c r="B8" s="1" t="s">
        <v>86</v>
      </c>
      <c r="C8" s="1" t="s">
        <v>87</v>
      </c>
      <c r="D8" s="1" t="s">
        <v>88</v>
      </c>
      <c r="E8" s="1" t="s">
        <v>89</v>
      </c>
      <c r="F8" s="1" t="s">
        <v>90</v>
      </c>
      <c r="G8" s="1" t="s">
        <v>91</v>
      </c>
      <c r="J8" s="14">
        <v>6</v>
      </c>
      <c r="K8" s="16">
        <v>339906</v>
      </c>
      <c r="L8" s="16">
        <v>340351</v>
      </c>
      <c r="M8" s="16">
        <v>339915</v>
      </c>
      <c r="N8" s="16">
        <v>340359</v>
      </c>
      <c r="O8" s="16">
        <v>339923</v>
      </c>
      <c r="P8" s="16">
        <v>340371</v>
      </c>
    </row>
    <row r="9" spans="1:16" ht="79.900000000000006" customHeight="1" x14ac:dyDescent="0.25">
      <c r="A9" s="2">
        <v>7</v>
      </c>
      <c r="B9" s="1" t="s">
        <v>92</v>
      </c>
      <c r="C9" s="1" t="s">
        <v>93</v>
      </c>
      <c r="D9" s="1" t="s">
        <v>94</v>
      </c>
      <c r="E9" s="1" t="s">
        <v>95</v>
      </c>
      <c r="F9" s="1" t="s">
        <v>96</v>
      </c>
      <c r="G9" s="1" t="s">
        <v>97</v>
      </c>
      <c r="J9" s="14">
        <v>7</v>
      </c>
      <c r="K9" s="16">
        <v>339907</v>
      </c>
      <c r="L9" s="16">
        <v>340352</v>
      </c>
      <c r="M9" s="16">
        <v>339916</v>
      </c>
      <c r="N9" s="16">
        <v>340362</v>
      </c>
      <c r="O9" s="16">
        <v>339924</v>
      </c>
      <c r="P9" s="16">
        <v>340375</v>
      </c>
    </row>
    <row r="10" spans="1:16" ht="79.900000000000006" customHeight="1" x14ac:dyDescent="0.25">
      <c r="A10" s="2">
        <v>8</v>
      </c>
      <c r="B10" s="1" t="s">
        <v>98</v>
      </c>
      <c r="C10" s="1" t="s">
        <v>99</v>
      </c>
      <c r="D10" s="1" t="s">
        <v>100</v>
      </c>
      <c r="E10" s="1" t="s">
        <v>101</v>
      </c>
      <c r="F10" s="1" t="s">
        <v>102</v>
      </c>
      <c r="G10" s="1" t="s">
        <v>103</v>
      </c>
      <c r="J10" s="14">
        <v>8</v>
      </c>
      <c r="K10" s="16">
        <v>339908</v>
      </c>
      <c r="L10" s="16">
        <v>340353</v>
      </c>
      <c r="M10" s="16">
        <v>339917</v>
      </c>
      <c r="N10" s="16">
        <v>340363</v>
      </c>
      <c r="O10" s="16">
        <v>339926</v>
      </c>
      <c r="P10" s="16">
        <v>340376</v>
      </c>
    </row>
    <row r="11" spans="1:16" ht="15.75" x14ac:dyDescent="0.25">
      <c r="J11" s="14" t="s">
        <v>5</v>
      </c>
      <c r="K11" s="30">
        <f>COUNTA(K3:M10)</f>
        <v>23</v>
      </c>
      <c r="L11" s="30"/>
      <c r="M11" s="30"/>
      <c r="N11" s="30">
        <f>COUNTA(N3:P10)</f>
        <v>24</v>
      </c>
      <c r="O11" s="30"/>
      <c r="P11" s="30"/>
    </row>
    <row r="12" spans="1:16" ht="14.45" customHeight="1" x14ac:dyDescent="0.25">
      <c r="J12" s="14" t="s">
        <v>6</v>
      </c>
      <c r="K12" s="27">
        <f>K11+N11</f>
        <v>47</v>
      </c>
      <c r="L12" s="27"/>
      <c r="M12" s="27"/>
      <c r="N12" s="27"/>
      <c r="O12" s="27"/>
      <c r="P12" s="27"/>
    </row>
    <row r="13" spans="1:16" ht="22.15" customHeight="1" x14ac:dyDescent="0.25">
      <c r="J13" s="5" t="s">
        <v>7</v>
      </c>
      <c r="K13" s="27">
        <v>115</v>
      </c>
      <c r="L13" s="27"/>
      <c r="M13" s="27"/>
      <c r="N13" s="27"/>
      <c r="O13" s="27"/>
      <c r="P13" s="27"/>
    </row>
    <row r="14" spans="1:16" ht="25.15" customHeight="1" x14ac:dyDescent="0.25"/>
    <row r="15" spans="1:16" ht="25.15" customHeight="1" x14ac:dyDescent="0.25"/>
  </sheetData>
  <mergeCells count="7">
    <mergeCell ref="K13:P13"/>
    <mergeCell ref="F1:G1"/>
    <mergeCell ref="A1:B1"/>
    <mergeCell ref="D1:E1"/>
    <mergeCell ref="K11:M11"/>
    <mergeCell ref="N11:P11"/>
    <mergeCell ref="K12:P12"/>
  </mergeCells>
  <pageMargins left="0.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61D-DF48-4971-8BFB-979D69FA84CF}">
  <dimension ref="A1:P15"/>
  <sheetViews>
    <sheetView zoomScale="55" zoomScaleNormal="55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28" t="s">
        <v>1</v>
      </c>
      <c r="B1" s="29"/>
      <c r="C1" s="4">
        <f>K13</f>
        <v>213</v>
      </c>
      <c r="D1" s="28" t="s">
        <v>3</v>
      </c>
      <c r="E1" s="29"/>
      <c r="F1" s="28">
        <f>K12</f>
        <v>47</v>
      </c>
      <c r="G1" s="29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8</v>
      </c>
      <c r="L2" s="17" t="s">
        <v>9</v>
      </c>
      <c r="M2" s="13" t="s">
        <v>8</v>
      </c>
      <c r="N2" s="17" t="s">
        <v>9</v>
      </c>
      <c r="O2" s="13" t="s">
        <v>8</v>
      </c>
      <c r="P2" s="17" t="s">
        <v>9</v>
      </c>
    </row>
    <row r="3" spans="1:16" ht="79.900000000000006" customHeight="1" x14ac:dyDescent="0.25">
      <c r="A3" s="2">
        <v>1</v>
      </c>
      <c r="B3" s="6" t="s">
        <v>2</v>
      </c>
      <c r="C3" s="1" t="s">
        <v>104</v>
      </c>
      <c r="D3" s="1" t="s">
        <v>105</v>
      </c>
      <c r="E3" s="1" t="s">
        <v>106</v>
      </c>
      <c r="F3" s="1" t="s">
        <v>107</v>
      </c>
      <c r="G3" s="1" t="s">
        <v>108</v>
      </c>
      <c r="J3" s="12">
        <v>1</v>
      </c>
      <c r="K3" s="7"/>
      <c r="L3" s="16">
        <v>340377</v>
      </c>
      <c r="M3" s="16">
        <v>339950</v>
      </c>
      <c r="N3" s="16">
        <v>340386</v>
      </c>
      <c r="O3" s="16">
        <v>339964</v>
      </c>
      <c r="P3" s="16">
        <v>340394</v>
      </c>
    </row>
    <row r="4" spans="1:16" ht="79.900000000000006" customHeight="1" x14ac:dyDescent="0.25">
      <c r="A4" s="2">
        <v>2</v>
      </c>
      <c r="B4" s="1" t="s">
        <v>109</v>
      </c>
      <c r="C4" s="1" t="s">
        <v>110</v>
      </c>
      <c r="D4" s="1" t="s">
        <v>111</v>
      </c>
      <c r="E4" s="1" t="s">
        <v>112</v>
      </c>
      <c r="F4" s="1" t="s">
        <v>113</v>
      </c>
      <c r="G4" s="1" t="s">
        <v>114</v>
      </c>
      <c r="J4" s="12">
        <v>2</v>
      </c>
      <c r="K4" s="16">
        <v>339929</v>
      </c>
      <c r="L4" s="16">
        <v>340378</v>
      </c>
      <c r="M4" s="16">
        <v>339954</v>
      </c>
      <c r="N4" s="16">
        <v>340387</v>
      </c>
      <c r="O4" s="16">
        <v>339965</v>
      </c>
      <c r="P4" s="16">
        <v>340395</v>
      </c>
    </row>
    <row r="5" spans="1:16" ht="79.900000000000006" customHeight="1" x14ac:dyDescent="0.25">
      <c r="A5" s="2">
        <v>3</v>
      </c>
      <c r="B5" s="1" t="s">
        <v>115</v>
      </c>
      <c r="C5" s="1" t="s">
        <v>116</v>
      </c>
      <c r="D5" s="1" t="s">
        <v>117</v>
      </c>
      <c r="E5" s="1" t="s">
        <v>118</v>
      </c>
      <c r="F5" s="1" t="s">
        <v>119</v>
      </c>
      <c r="G5" s="1" t="s">
        <v>120</v>
      </c>
      <c r="J5" s="12">
        <v>3</v>
      </c>
      <c r="K5" s="16">
        <v>339934</v>
      </c>
      <c r="L5" s="16">
        <v>340379</v>
      </c>
      <c r="M5" s="16">
        <v>339955</v>
      </c>
      <c r="N5" s="16">
        <v>340388</v>
      </c>
      <c r="O5" s="16">
        <v>339966</v>
      </c>
      <c r="P5" s="16">
        <v>340397</v>
      </c>
    </row>
    <row r="6" spans="1:16" ht="79.900000000000006" customHeight="1" x14ac:dyDescent="0.25">
      <c r="A6" s="2">
        <v>4</v>
      </c>
      <c r="B6" s="1" t="s">
        <v>121</v>
      </c>
      <c r="C6" s="1" t="s">
        <v>122</v>
      </c>
      <c r="D6" s="1" t="s">
        <v>123</v>
      </c>
      <c r="E6" s="1" t="s">
        <v>124</v>
      </c>
      <c r="F6" s="1" t="s">
        <v>125</v>
      </c>
      <c r="G6" s="1" t="s">
        <v>126</v>
      </c>
      <c r="J6" s="12">
        <v>4</v>
      </c>
      <c r="K6" s="16">
        <v>339935</v>
      </c>
      <c r="L6" s="16">
        <v>340380</v>
      </c>
      <c r="M6" s="16">
        <v>339956</v>
      </c>
      <c r="N6" s="16">
        <v>340389</v>
      </c>
      <c r="O6" s="16">
        <v>339967</v>
      </c>
      <c r="P6" s="16">
        <v>340398</v>
      </c>
    </row>
    <row r="7" spans="1:16" ht="79.900000000000006" customHeight="1" x14ac:dyDescent="0.25">
      <c r="A7" s="2">
        <v>5</v>
      </c>
      <c r="B7" s="1" t="s">
        <v>127</v>
      </c>
      <c r="C7" s="1" t="s">
        <v>128</v>
      </c>
      <c r="D7" s="1" t="s">
        <v>129</v>
      </c>
      <c r="E7" s="1" t="s">
        <v>130</v>
      </c>
      <c r="F7" s="1" t="s">
        <v>131</v>
      </c>
      <c r="G7" s="1" t="s">
        <v>132</v>
      </c>
      <c r="J7" s="12">
        <v>5</v>
      </c>
      <c r="K7" s="16">
        <v>339938</v>
      </c>
      <c r="L7" s="16">
        <v>340381</v>
      </c>
      <c r="M7" s="16">
        <v>339957</v>
      </c>
      <c r="N7" s="16">
        <v>340390</v>
      </c>
      <c r="O7" s="16">
        <v>339969</v>
      </c>
      <c r="P7" s="16">
        <v>340399</v>
      </c>
    </row>
    <row r="8" spans="1:16" ht="79.900000000000006" customHeight="1" x14ac:dyDescent="0.25">
      <c r="A8" s="2">
        <v>6</v>
      </c>
      <c r="B8" s="1" t="s">
        <v>133</v>
      </c>
      <c r="C8" s="1" t="s">
        <v>134</v>
      </c>
      <c r="D8" s="1" t="s">
        <v>135</v>
      </c>
      <c r="E8" s="1" t="s">
        <v>136</v>
      </c>
      <c r="F8" s="1" t="s">
        <v>137</v>
      </c>
      <c r="G8" s="1" t="s">
        <v>138</v>
      </c>
      <c r="J8" s="12">
        <v>6</v>
      </c>
      <c r="K8" s="16">
        <v>339939</v>
      </c>
      <c r="L8" s="16">
        <v>340382</v>
      </c>
      <c r="M8" s="16">
        <v>339959</v>
      </c>
      <c r="N8" s="16">
        <v>340391</v>
      </c>
      <c r="O8" s="16">
        <v>339970</v>
      </c>
      <c r="P8" s="16">
        <v>340400</v>
      </c>
    </row>
    <row r="9" spans="1:16" ht="79.900000000000006" customHeight="1" x14ac:dyDescent="0.25">
      <c r="A9" s="2">
        <v>7</v>
      </c>
      <c r="B9" s="1" t="s">
        <v>139</v>
      </c>
      <c r="C9" s="1" t="s">
        <v>140</v>
      </c>
      <c r="D9" s="1" t="s">
        <v>141</v>
      </c>
      <c r="E9" s="1" t="s">
        <v>142</v>
      </c>
      <c r="F9" s="1" t="s">
        <v>143</v>
      </c>
      <c r="G9" s="1" t="s">
        <v>144</v>
      </c>
      <c r="J9" s="12">
        <v>7</v>
      </c>
      <c r="K9" s="16">
        <v>339943</v>
      </c>
      <c r="L9" s="16">
        <v>340383</v>
      </c>
      <c r="M9" s="16">
        <v>339962</v>
      </c>
      <c r="N9" s="16">
        <v>340392</v>
      </c>
      <c r="O9" s="16">
        <v>339972</v>
      </c>
      <c r="P9" s="16">
        <v>340401</v>
      </c>
    </row>
    <row r="10" spans="1:16" ht="79.900000000000006" customHeight="1" x14ac:dyDescent="0.25">
      <c r="A10" s="2">
        <v>8</v>
      </c>
      <c r="B10" s="1" t="s">
        <v>145</v>
      </c>
      <c r="C10" s="1" t="s">
        <v>146</v>
      </c>
      <c r="D10" s="1" t="s">
        <v>147</v>
      </c>
      <c r="E10" s="1" t="s">
        <v>148</v>
      </c>
      <c r="F10" s="1" t="s">
        <v>149</v>
      </c>
      <c r="G10" s="1" t="s">
        <v>150</v>
      </c>
      <c r="J10" s="12">
        <v>8</v>
      </c>
      <c r="K10" s="16">
        <v>339947</v>
      </c>
      <c r="L10" s="16">
        <v>340384</v>
      </c>
      <c r="M10" s="16">
        <v>339963</v>
      </c>
      <c r="N10" s="16">
        <v>340393</v>
      </c>
      <c r="O10" s="16">
        <v>339973</v>
      </c>
      <c r="P10" s="16">
        <v>340402</v>
      </c>
    </row>
    <row r="11" spans="1:16" ht="15.75" x14ac:dyDescent="0.25">
      <c r="J11" s="12" t="s">
        <v>5</v>
      </c>
      <c r="K11" s="30">
        <f>COUNTA(K3:M10)</f>
        <v>23</v>
      </c>
      <c r="L11" s="30"/>
      <c r="M11" s="30"/>
      <c r="N11" s="30">
        <f>COUNTA(N3:P10)</f>
        <v>24</v>
      </c>
      <c r="O11" s="30"/>
      <c r="P11" s="30"/>
    </row>
    <row r="12" spans="1:16" ht="14.45" customHeight="1" x14ac:dyDescent="0.25">
      <c r="J12" s="12" t="s">
        <v>6</v>
      </c>
      <c r="K12" s="27">
        <f>K11+N11</f>
        <v>47</v>
      </c>
      <c r="L12" s="27"/>
      <c r="M12" s="27"/>
      <c r="N12" s="27"/>
      <c r="O12" s="27"/>
      <c r="P12" s="27"/>
    </row>
    <row r="13" spans="1:16" ht="22.15" customHeight="1" x14ac:dyDescent="0.25">
      <c r="J13" s="5" t="s">
        <v>7</v>
      </c>
      <c r="K13" s="27">
        <v>213</v>
      </c>
      <c r="L13" s="27"/>
      <c r="M13" s="27"/>
      <c r="N13" s="27"/>
      <c r="O13" s="27"/>
      <c r="P13" s="27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2ADF-54C9-41CB-A24F-CF801D6D2A37}">
  <dimension ref="A1:P15"/>
  <sheetViews>
    <sheetView zoomScale="70" zoomScaleNormal="70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32.450000000000003" customHeight="1" x14ac:dyDescent="0.25">
      <c r="A1" s="28" t="s">
        <v>1</v>
      </c>
      <c r="B1" s="29"/>
      <c r="C1" s="4">
        <f>K13</f>
        <v>214</v>
      </c>
      <c r="D1" s="28" t="s">
        <v>3</v>
      </c>
      <c r="E1" s="29"/>
      <c r="F1" s="28">
        <f>K12</f>
        <v>47</v>
      </c>
      <c r="G1" s="29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8</v>
      </c>
      <c r="L2" s="17" t="s">
        <v>9</v>
      </c>
      <c r="M2" s="13" t="s">
        <v>8</v>
      </c>
      <c r="N2" s="17" t="s">
        <v>9</v>
      </c>
      <c r="O2" s="13" t="s">
        <v>8</v>
      </c>
      <c r="P2" s="17" t="s">
        <v>9</v>
      </c>
    </row>
    <row r="3" spans="1:16" ht="79.900000000000006" customHeight="1" x14ac:dyDescent="0.25">
      <c r="A3" s="2">
        <v>1</v>
      </c>
      <c r="B3" s="6" t="s">
        <v>2</v>
      </c>
      <c r="C3" s="1" t="s">
        <v>151</v>
      </c>
      <c r="D3" s="1" t="s">
        <v>152</v>
      </c>
      <c r="E3" s="1" t="s">
        <v>153</v>
      </c>
      <c r="F3" s="1" t="s">
        <v>154</v>
      </c>
      <c r="G3" s="1" t="s">
        <v>155</v>
      </c>
      <c r="J3" s="12">
        <v>1</v>
      </c>
      <c r="K3" s="7"/>
      <c r="L3" s="16">
        <v>340404</v>
      </c>
      <c r="M3" s="16">
        <v>339984</v>
      </c>
      <c r="N3" s="16">
        <v>340415</v>
      </c>
      <c r="O3" s="16">
        <v>339996</v>
      </c>
      <c r="P3" s="16">
        <v>340425</v>
      </c>
    </row>
    <row r="4" spans="1:16" ht="79.900000000000006" customHeight="1" x14ac:dyDescent="0.25">
      <c r="A4" s="2">
        <v>2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161</v>
      </c>
      <c r="J4" s="12">
        <v>2</v>
      </c>
      <c r="K4" s="16">
        <v>339974</v>
      </c>
      <c r="L4" s="16">
        <v>340405</v>
      </c>
      <c r="M4" s="16">
        <v>339985</v>
      </c>
      <c r="N4" s="16">
        <v>340416</v>
      </c>
      <c r="O4" s="16">
        <v>339997</v>
      </c>
      <c r="P4" s="16">
        <v>340426</v>
      </c>
    </row>
    <row r="5" spans="1:16" ht="79.900000000000006" customHeight="1" x14ac:dyDescent="0.25">
      <c r="A5" s="2">
        <v>3</v>
      </c>
      <c r="B5" s="1" t="s">
        <v>162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167</v>
      </c>
      <c r="J5" s="12">
        <v>3</v>
      </c>
      <c r="K5" s="16">
        <v>339975</v>
      </c>
      <c r="L5" s="16">
        <v>340406</v>
      </c>
      <c r="M5" s="16">
        <v>339989</v>
      </c>
      <c r="N5" s="16">
        <v>340417</v>
      </c>
      <c r="O5" s="16">
        <v>339998</v>
      </c>
      <c r="P5" s="16">
        <v>340427</v>
      </c>
    </row>
    <row r="6" spans="1:16" ht="79.900000000000006" customHeight="1" x14ac:dyDescent="0.25">
      <c r="A6" s="2">
        <v>4</v>
      </c>
      <c r="B6" s="1" t="s">
        <v>168</v>
      </c>
      <c r="C6" s="1" t="s">
        <v>169</v>
      </c>
      <c r="D6" s="1" t="s">
        <v>170</v>
      </c>
      <c r="E6" s="1" t="s">
        <v>171</v>
      </c>
      <c r="F6" s="1" t="s">
        <v>172</v>
      </c>
      <c r="G6" s="1" t="s">
        <v>173</v>
      </c>
      <c r="J6" s="12">
        <v>4</v>
      </c>
      <c r="K6" s="16">
        <v>339976</v>
      </c>
      <c r="L6" s="16">
        <v>340407</v>
      </c>
      <c r="M6" s="16">
        <v>339990</v>
      </c>
      <c r="N6" s="16">
        <v>340418</v>
      </c>
      <c r="O6" s="16">
        <v>340000</v>
      </c>
      <c r="P6" s="16">
        <v>340429</v>
      </c>
    </row>
    <row r="7" spans="1:16" ht="79.900000000000006" customHeight="1" x14ac:dyDescent="0.25">
      <c r="A7" s="2">
        <v>5</v>
      </c>
      <c r="B7" s="1" t="s">
        <v>174</v>
      </c>
      <c r="C7" s="1" t="s">
        <v>175</v>
      </c>
      <c r="D7" s="1" t="s">
        <v>176</v>
      </c>
      <c r="E7" s="1" t="s">
        <v>177</v>
      </c>
      <c r="F7" s="1" t="s">
        <v>178</v>
      </c>
      <c r="G7" s="1" t="s">
        <v>179</v>
      </c>
      <c r="J7" s="12">
        <v>5</v>
      </c>
      <c r="K7" s="16">
        <v>339979</v>
      </c>
      <c r="L7" s="16">
        <v>340408</v>
      </c>
      <c r="M7" s="16">
        <v>339991</v>
      </c>
      <c r="N7" s="16">
        <v>340419</v>
      </c>
      <c r="O7" s="16">
        <v>340001</v>
      </c>
      <c r="P7" s="16">
        <v>340430</v>
      </c>
    </row>
    <row r="8" spans="1:16" ht="79.900000000000006" customHeight="1" x14ac:dyDescent="0.25">
      <c r="A8" s="2">
        <v>6</v>
      </c>
      <c r="B8" s="1" t="s">
        <v>180</v>
      </c>
      <c r="C8" s="1" t="s">
        <v>181</v>
      </c>
      <c r="D8" s="1" t="s">
        <v>182</v>
      </c>
      <c r="E8" s="1" t="s">
        <v>183</v>
      </c>
      <c r="F8" s="1" t="s">
        <v>184</v>
      </c>
      <c r="G8" s="1" t="s">
        <v>185</v>
      </c>
      <c r="J8" s="12">
        <v>6</v>
      </c>
      <c r="K8" s="16">
        <v>339980</v>
      </c>
      <c r="L8" s="18">
        <v>340409</v>
      </c>
      <c r="M8" s="16">
        <v>339992</v>
      </c>
      <c r="N8" s="16">
        <v>340420</v>
      </c>
      <c r="O8" s="16">
        <v>340002</v>
      </c>
      <c r="P8" s="16">
        <v>340431</v>
      </c>
    </row>
    <row r="9" spans="1:16" ht="79.900000000000006" customHeight="1" x14ac:dyDescent="0.25">
      <c r="A9" s="2">
        <v>7</v>
      </c>
      <c r="B9" s="1" t="s">
        <v>186</v>
      </c>
      <c r="C9" s="1" t="s">
        <v>187</v>
      </c>
      <c r="D9" s="1" t="s">
        <v>188</v>
      </c>
      <c r="E9" s="1" t="s">
        <v>189</v>
      </c>
      <c r="F9" s="1" t="s">
        <v>190</v>
      </c>
      <c r="G9" s="1" t="s">
        <v>191</v>
      </c>
      <c r="J9" s="12">
        <v>7</v>
      </c>
      <c r="K9" s="16">
        <v>339982</v>
      </c>
      <c r="L9" s="16">
        <v>340412</v>
      </c>
      <c r="M9" s="16">
        <v>339994</v>
      </c>
      <c r="N9" s="16">
        <v>340421</v>
      </c>
      <c r="O9" s="16">
        <v>340003</v>
      </c>
      <c r="P9" s="16">
        <v>340432</v>
      </c>
    </row>
    <row r="10" spans="1:16" ht="79.900000000000006" customHeight="1" x14ac:dyDescent="0.25">
      <c r="A10" s="2">
        <v>8</v>
      </c>
      <c r="B10" s="1" t="s">
        <v>192</v>
      </c>
      <c r="C10" s="1" t="s">
        <v>193</v>
      </c>
      <c r="D10" s="1" t="s">
        <v>194</v>
      </c>
      <c r="E10" s="1" t="s">
        <v>195</v>
      </c>
      <c r="F10" s="1" t="s">
        <v>196</v>
      </c>
      <c r="G10" s="1" t="s">
        <v>197</v>
      </c>
      <c r="J10" s="12">
        <v>8</v>
      </c>
      <c r="K10" s="16">
        <v>339983</v>
      </c>
      <c r="L10" s="16">
        <v>340413</v>
      </c>
      <c r="M10" s="16">
        <v>339995</v>
      </c>
      <c r="N10" s="16">
        <v>340424</v>
      </c>
      <c r="O10" s="16">
        <v>340004</v>
      </c>
      <c r="P10" s="16">
        <v>340433</v>
      </c>
    </row>
    <row r="11" spans="1:16" ht="15.75" x14ac:dyDescent="0.25">
      <c r="J11" s="12" t="s">
        <v>5</v>
      </c>
      <c r="K11" s="30">
        <f>COUNTA(K3:M10)</f>
        <v>23</v>
      </c>
      <c r="L11" s="30"/>
      <c r="M11" s="30"/>
      <c r="N11" s="30">
        <f>COUNTA(N3:P10)</f>
        <v>24</v>
      </c>
      <c r="O11" s="30"/>
      <c r="P11" s="30"/>
    </row>
    <row r="12" spans="1:16" ht="14.45" customHeight="1" x14ac:dyDescent="0.25">
      <c r="J12" s="12" t="s">
        <v>6</v>
      </c>
      <c r="K12" s="27">
        <f>K11+N11</f>
        <v>47</v>
      </c>
      <c r="L12" s="27"/>
      <c r="M12" s="27"/>
      <c r="N12" s="27"/>
      <c r="O12" s="27"/>
      <c r="P12" s="27"/>
    </row>
    <row r="13" spans="1:16" ht="22.15" customHeight="1" x14ac:dyDescent="0.25">
      <c r="J13" s="5" t="s">
        <v>7</v>
      </c>
      <c r="K13" s="27">
        <v>214</v>
      </c>
      <c r="L13" s="27"/>
      <c r="M13" s="27"/>
      <c r="N13" s="27"/>
      <c r="O13" s="27"/>
      <c r="P13" s="27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EBE63-A4AF-4521-A804-052989847367}">
  <dimension ref="A1:P15"/>
  <sheetViews>
    <sheetView zoomScale="70" zoomScaleNormal="70" workbookViewId="0">
      <selection activeCell="B3" sqref="B3:G10"/>
    </sheetView>
  </sheetViews>
  <sheetFormatPr defaultRowHeight="15" x14ac:dyDescent="0.25"/>
  <cols>
    <col min="1" max="1" width="2.7109375" bestFit="1" customWidth="1"/>
    <col min="2" max="7" width="14.7109375" customWidth="1"/>
    <col min="10" max="11" width="8.85546875" style="2"/>
    <col min="12" max="12" width="10" style="2" bestFit="1" customWidth="1"/>
    <col min="13" max="15" width="8.85546875" style="2"/>
  </cols>
  <sheetData>
    <row r="1" spans="1:16" ht="32.450000000000003" customHeight="1" x14ac:dyDescent="0.25">
      <c r="A1" s="28" t="s">
        <v>1</v>
      </c>
      <c r="B1" s="29"/>
      <c r="C1" s="4">
        <f>K13</f>
        <v>215</v>
      </c>
      <c r="D1" s="28" t="s">
        <v>3</v>
      </c>
      <c r="E1" s="29"/>
      <c r="F1" s="28">
        <f>K12</f>
        <v>47</v>
      </c>
      <c r="G1" s="29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8</v>
      </c>
      <c r="L2" s="17" t="s">
        <v>9</v>
      </c>
      <c r="M2" s="13" t="s">
        <v>8</v>
      </c>
      <c r="N2" s="17" t="s">
        <v>10</v>
      </c>
      <c r="O2" s="13" t="s">
        <v>8</v>
      </c>
      <c r="P2" s="17" t="s">
        <v>10</v>
      </c>
    </row>
    <row r="3" spans="1:16" ht="79.900000000000006" customHeight="1" x14ac:dyDescent="0.25">
      <c r="A3" s="2">
        <v>1</v>
      </c>
      <c r="B3" s="6" t="s">
        <v>2</v>
      </c>
      <c r="C3" s="1" t="s">
        <v>198</v>
      </c>
      <c r="D3" s="1" t="s">
        <v>199</v>
      </c>
      <c r="E3" s="1" t="s">
        <v>200</v>
      </c>
      <c r="F3" s="1" t="s">
        <v>201</v>
      </c>
      <c r="G3" s="1" t="s">
        <v>202</v>
      </c>
      <c r="J3" s="12">
        <v>1</v>
      </c>
      <c r="K3" s="7"/>
      <c r="L3" s="16">
        <v>340435</v>
      </c>
      <c r="M3" s="16">
        <v>340014</v>
      </c>
      <c r="N3" s="16">
        <v>330511</v>
      </c>
      <c r="O3" s="16">
        <v>340024</v>
      </c>
      <c r="P3" s="16">
        <v>340116</v>
      </c>
    </row>
    <row r="4" spans="1:16" ht="79.900000000000006" customHeight="1" x14ac:dyDescent="0.25">
      <c r="A4" s="2">
        <v>2</v>
      </c>
      <c r="B4" s="1" t="s">
        <v>203</v>
      </c>
      <c r="C4" s="1" t="s">
        <v>204</v>
      </c>
      <c r="D4" s="1" t="s">
        <v>205</v>
      </c>
      <c r="E4" s="1" t="s">
        <v>206</v>
      </c>
      <c r="F4" s="1" t="s">
        <v>207</v>
      </c>
      <c r="G4" s="1" t="s">
        <v>208</v>
      </c>
      <c r="J4" s="12">
        <v>2</v>
      </c>
      <c r="K4" s="16">
        <v>340005</v>
      </c>
      <c r="L4" s="16">
        <v>340438</v>
      </c>
      <c r="M4" s="16">
        <v>340016</v>
      </c>
      <c r="N4" s="16">
        <v>340108</v>
      </c>
      <c r="O4" s="16">
        <v>340025</v>
      </c>
      <c r="P4" s="16">
        <v>340117</v>
      </c>
    </row>
    <row r="5" spans="1:16" ht="79.900000000000006" customHeight="1" x14ac:dyDescent="0.25">
      <c r="A5" s="2">
        <v>3</v>
      </c>
      <c r="B5" s="1" t="s">
        <v>209</v>
      </c>
      <c r="C5" s="1" t="s">
        <v>210</v>
      </c>
      <c r="D5" s="1" t="s">
        <v>211</v>
      </c>
      <c r="E5" s="1" t="s">
        <v>212</v>
      </c>
      <c r="F5" s="1" t="s">
        <v>213</v>
      </c>
      <c r="G5" s="1" t="s">
        <v>214</v>
      </c>
      <c r="J5" s="12">
        <v>3</v>
      </c>
      <c r="K5" s="16">
        <v>340006</v>
      </c>
      <c r="L5" s="16">
        <v>340439</v>
      </c>
      <c r="M5" s="16">
        <v>340017</v>
      </c>
      <c r="N5" s="16">
        <v>340109</v>
      </c>
      <c r="O5" s="16">
        <v>340026</v>
      </c>
      <c r="P5" s="16">
        <v>340118</v>
      </c>
    </row>
    <row r="6" spans="1:16" ht="79.900000000000006" customHeight="1" x14ac:dyDescent="0.25">
      <c r="A6" s="2">
        <v>4</v>
      </c>
      <c r="B6" s="1" t="s">
        <v>215</v>
      </c>
      <c r="C6" s="1" t="s">
        <v>216</v>
      </c>
      <c r="D6" s="1" t="s">
        <v>217</v>
      </c>
      <c r="E6" s="1" t="s">
        <v>218</v>
      </c>
      <c r="F6" s="1" t="s">
        <v>219</v>
      </c>
      <c r="G6" s="1" t="s">
        <v>220</v>
      </c>
      <c r="J6" s="12">
        <v>4</v>
      </c>
      <c r="K6" s="16">
        <v>340007</v>
      </c>
      <c r="L6" s="16">
        <v>340440</v>
      </c>
      <c r="M6" s="16">
        <v>340018</v>
      </c>
      <c r="N6" s="16">
        <v>340110</v>
      </c>
      <c r="O6" s="16">
        <v>340028</v>
      </c>
      <c r="P6" s="16">
        <v>340119</v>
      </c>
    </row>
    <row r="7" spans="1:16" ht="79.900000000000006" customHeight="1" x14ac:dyDescent="0.25">
      <c r="A7" s="2">
        <v>5</v>
      </c>
      <c r="B7" s="1" t="s">
        <v>221</v>
      </c>
      <c r="C7" s="1" t="s">
        <v>222</v>
      </c>
      <c r="D7" s="1" t="s">
        <v>223</v>
      </c>
      <c r="E7" s="1" t="s">
        <v>224</v>
      </c>
      <c r="F7" s="1" t="s">
        <v>225</v>
      </c>
      <c r="G7" s="1" t="s">
        <v>226</v>
      </c>
      <c r="J7" s="12">
        <v>5</v>
      </c>
      <c r="K7" s="16">
        <v>340009</v>
      </c>
      <c r="L7" s="16">
        <v>340441</v>
      </c>
      <c r="M7" s="16">
        <v>340020</v>
      </c>
      <c r="N7" s="16">
        <v>340111</v>
      </c>
      <c r="O7" s="16">
        <v>340031</v>
      </c>
      <c r="P7" s="16">
        <v>340121</v>
      </c>
    </row>
    <row r="8" spans="1:16" ht="79.900000000000006" customHeight="1" x14ac:dyDescent="0.25">
      <c r="A8" s="2">
        <v>6</v>
      </c>
      <c r="B8" s="1" t="s">
        <v>227</v>
      </c>
      <c r="C8" s="1" t="s">
        <v>228</v>
      </c>
      <c r="D8" s="1" t="s">
        <v>229</v>
      </c>
      <c r="E8" s="1" t="s">
        <v>230</v>
      </c>
      <c r="F8" s="1" t="s">
        <v>231</v>
      </c>
      <c r="G8" s="1" t="s">
        <v>232</v>
      </c>
      <c r="J8" s="12">
        <v>6</v>
      </c>
      <c r="K8" s="16">
        <v>340011</v>
      </c>
      <c r="L8" s="16">
        <v>340442</v>
      </c>
      <c r="M8" s="16">
        <v>340021</v>
      </c>
      <c r="N8" s="16">
        <v>340112</v>
      </c>
      <c r="O8" s="16">
        <v>340032</v>
      </c>
      <c r="P8" s="16">
        <v>340122</v>
      </c>
    </row>
    <row r="9" spans="1:16" ht="79.900000000000006" customHeight="1" x14ac:dyDescent="0.25">
      <c r="A9" s="2">
        <v>7</v>
      </c>
      <c r="B9" s="1" t="s">
        <v>233</v>
      </c>
      <c r="C9" s="1" t="s">
        <v>234</v>
      </c>
      <c r="D9" s="1" t="s">
        <v>235</v>
      </c>
      <c r="E9" s="1" t="s">
        <v>236</v>
      </c>
      <c r="F9" s="1" t="s">
        <v>237</v>
      </c>
      <c r="G9" s="1" t="s">
        <v>238</v>
      </c>
      <c r="J9" s="12">
        <v>7</v>
      </c>
      <c r="K9" s="16">
        <v>340012</v>
      </c>
      <c r="L9" s="16">
        <v>340443</v>
      </c>
      <c r="M9" s="16">
        <v>340022</v>
      </c>
      <c r="N9" s="16">
        <v>340113</v>
      </c>
      <c r="O9" s="16">
        <v>340033</v>
      </c>
      <c r="P9" s="18">
        <v>340123</v>
      </c>
    </row>
    <row r="10" spans="1:16" ht="79.900000000000006" customHeight="1" x14ac:dyDescent="0.25">
      <c r="A10" s="2">
        <v>8</v>
      </c>
      <c r="B10" s="1" t="s">
        <v>239</v>
      </c>
      <c r="C10" s="1" t="s">
        <v>240</v>
      </c>
      <c r="D10" s="1" t="s">
        <v>241</v>
      </c>
      <c r="E10" s="1" t="s">
        <v>242</v>
      </c>
      <c r="F10" s="1" t="s">
        <v>243</v>
      </c>
      <c r="G10" s="1" t="s">
        <v>244</v>
      </c>
      <c r="J10" s="12">
        <v>8</v>
      </c>
      <c r="K10" s="16">
        <v>340013</v>
      </c>
      <c r="L10" s="19">
        <v>248356</v>
      </c>
      <c r="M10" s="16">
        <v>340023</v>
      </c>
      <c r="N10" s="16">
        <v>340114</v>
      </c>
      <c r="O10" s="16">
        <v>340040</v>
      </c>
      <c r="P10" s="16">
        <v>340124</v>
      </c>
    </row>
    <row r="11" spans="1:16" ht="15.75" x14ac:dyDescent="0.25">
      <c r="J11" s="12" t="s">
        <v>5</v>
      </c>
      <c r="K11" s="30">
        <f>COUNTA(K3:M10)</f>
        <v>23</v>
      </c>
      <c r="L11" s="30"/>
      <c r="M11" s="30"/>
      <c r="N11" s="30">
        <f>COUNTA(N3:P10)</f>
        <v>24</v>
      </c>
      <c r="O11" s="30"/>
      <c r="P11" s="30"/>
    </row>
    <row r="12" spans="1:16" ht="14.45" customHeight="1" x14ac:dyDescent="0.25">
      <c r="J12" s="12" t="s">
        <v>6</v>
      </c>
      <c r="K12" s="27">
        <f>K11+N11</f>
        <v>47</v>
      </c>
      <c r="L12" s="27"/>
      <c r="M12" s="27"/>
      <c r="N12" s="27"/>
      <c r="O12" s="27"/>
      <c r="P12" s="27"/>
    </row>
    <row r="13" spans="1:16" ht="22.15" customHeight="1" x14ac:dyDescent="0.25">
      <c r="J13" s="5" t="s">
        <v>7</v>
      </c>
      <c r="K13" s="27">
        <v>215</v>
      </c>
      <c r="L13" s="27"/>
      <c r="M13" s="27"/>
      <c r="N13" s="27"/>
      <c r="O13" s="27"/>
      <c r="P13" s="27"/>
    </row>
    <row r="14" spans="1:16" ht="25.15" customHeight="1" x14ac:dyDescent="0.25"/>
    <row r="15" spans="1:16" ht="25.15" customHeight="1" x14ac:dyDescent="0.25"/>
  </sheetData>
  <mergeCells count="7">
    <mergeCell ref="K13:P13"/>
    <mergeCell ref="A1:B1"/>
    <mergeCell ref="F1:G1"/>
    <mergeCell ref="K11:M11"/>
    <mergeCell ref="N11:P11"/>
    <mergeCell ref="K12:P12"/>
    <mergeCell ref="D1:E1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A38E-F9DF-4E5E-B0B6-47311B372568}">
  <dimension ref="A1:P13"/>
  <sheetViews>
    <sheetView zoomScale="70" zoomScaleNormal="70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28" t="s">
        <v>1</v>
      </c>
      <c r="B1" s="29"/>
      <c r="C1" s="4">
        <f>K12</f>
        <v>112</v>
      </c>
      <c r="D1" s="28" t="s">
        <v>3</v>
      </c>
      <c r="E1" s="29"/>
      <c r="F1" s="28">
        <f>K11</f>
        <v>41</v>
      </c>
      <c r="G1" s="29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8</v>
      </c>
      <c r="L2" s="17" t="s">
        <v>10</v>
      </c>
      <c r="M2" s="13" t="s">
        <v>8</v>
      </c>
      <c r="N2" s="17" t="s">
        <v>10</v>
      </c>
      <c r="O2" s="13" t="s">
        <v>8</v>
      </c>
      <c r="P2" s="17" t="s">
        <v>10</v>
      </c>
    </row>
    <row r="3" spans="1:16" ht="85.15" customHeight="1" x14ac:dyDescent="0.25">
      <c r="A3" s="2">
        <v>1</v>
      </c>
      <c r="B3" s="6" t="s">
        <v>2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J3" s="12">
        <v>1</v>
      </c>
      <c r="K3" s="7"/>
      <c r="L3" s="16">
        <v>340125</v>
      </c>
      <c r="M3" s="16">
        <v>340050</v>
      </c>
      <c r="N3" s="16">
        <v>340134</v>
      </c>
      <c r="O3" s="16">
        <v>340059</v>
      </c>
      <c r="P3" s="16">
        <v>340141</v>
      </c>
    </row>
    <row r="4" spans="1:16" ht="85.15" customHeight="1" x14ac:dyDescent="0.25">
      <c r="A4" s="2">
        <v>2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J4" s="12">
        <v>2</v>
      </c>
      <c r="K4" s="16">
        <v>340041</v>
      </c>
      <c r="L4" s="16">
        <v>340126</v>
      </c>
      <c r="M4" s="16">
        <v>340051</v>
      </c>
      <c r="N4" s="16">
        <v>340135</v>
      </c>
      <c r="O4" s="16">
        <v>340063</v>
      </c>
      <c r="P4" s="16">
        <v>340143</v>
      </c>
    </row>
    <row r="5" spans="1:16" ht="85.15" customHeight="1" x14ac:dyDescent="0.25">
      <c r="A5" s="2">
        <v>3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J5" s="12">
        <v>3</v>
      </c>
      <c r="K5" s="16">
        <v>340042</v>
      </c>
      <c r="L5" s="16">
        <v>340128</v>
      </c>
      <c r="M5" s="16">
        <v>340052</v>
      </c>
      <c r="N5" s="16">
        <v>340136</v>
      </c>
      <c r="O5" s="16">
        <v>340065</v>
      </c>
      <c r="P5" s="16">
        <v>340145</v>
      </c>
    </row>
    <row r="6" spans="1:16" ht="85.15" customHeight="1" x14ac:dyDescent="0.25">
      <c r="A6" s="2">
        <v>4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J6" s="12">
        <v>4</v>
      </c>
      <c r="K6" s="16">
        <v>340043</v>
      </c>
      <c r="L6" s="16">
        <v>340129</v>
      </c>
      <c r="M6" s="16">
        <v>340054</v>
      </c>
      <c r="N6" s="16">
        <v>340137</v>
      </c>
      <c r="O6" s="16">
        <v>340067</v>
      </c>
      <c r="P6" s="16">
        <v>340146</v>
      </c>
    </row>
    <row r="7" spans="1:16" ht="85.15" customHeight="1" x14ac:dyDescent="0.25">
      <c r="A7" s="2">
        <v>5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J7" s="12">
        <v>5</v>
      </c>
      <c r="K7" s="16">
        <v>340045</v>
      </c>
      <c r="L7" s="16">
        <v>340130</v>
      </c>
      <c r="M7" s="16">
        <v>340055</v>
      </c>
      <c r="N7" s="16">
        <v>340138</v>
      </c>
      <c r="O7" s="16">
        <v>340068</v>
      </c>
      <c r="P7" s="16">
        <v>340147</v>
      </c>
    </row>
    <row r="8" spans="1:16" ht="85.15" customHeight="1" x14ac:dyDescent="0.25">
      <c r="A8" s="2">
        <v>6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50</v>
      </c>
      <c r="J8" s="12">
        <v>6</v>
      </c>
      <c r="K8" s="16">
        <v>340048</v>
      </c>
      <c r="L8" s="16">
        <v>340131</v>
      </c>
      <c r="M8" s="16">
        <v>340056</v>
      </c>
      <c r="N8" s="16">
        <v>340139</v>
      </c>
      <c r="O8" s="16">
        <v>340070</v>
      </c>
      <c r="P8" s="16">
        <v>340149</v>
      </c>
    </row>
    <row r="9" spans="1:16" ht="85.15" customHeight="1" x14ac:dyDescent="0.25">
      <c r="A9" s="2">
        <v>7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56</v>
      </c>
      <c r="J9" s="12">
        <v>7</v>
      </c>
      <c r="K9" s="16">
        <v>340049</v>
      </c>
      <c r="L9" s="16">
        <v>340132</v>
      </c>
      <c r="M9" s="16">
        <v>340057</v>
      </c>
      <c r="N9" s="16">
        <v>340140</v>
      </c>
      <c r="O9" s="16">
        <v>340071</v>
      </c>
      <c r="P9" s="16">
        <v>340150</v>
      </c>
    </row>
    <row r="10" spans="1:16" ht="15.75" x14ac:dyDescent="0.25">
      <c r="J10" s="12" t="s">
        <v>5</v>
      </c>
      <c r="K10" s="31">
        <f>COUNTA(K3:M9)</f>
        <v>20</v>
      </c>
      <c r="L10" s="32"/>
      <c r="M10" s="33"/>
      <c r="N10" s="31">
        <f>COUNTA(N3:P9)</f>
        <v>21</v>
      </c>
      <c r="O10" s="32"/>
      <c r="P10" s="33"/>
    </row>
    <row r="11" spans="1:16" ht="14.45" customHeight="1" x14ac:dyDescent="0.25">
      <c r="J11" s="12" t="s">
        <v>6</v>
      </c>
      <c r="K11" s="27">
        <f>K10+N10</f>
        <v>41</v>
      </c>
      <c r="L11" s="27"/>
      <c r="M11" s="27"/>
      <c r="N11" s="27"/>
      <c r="O11" s="27"/>
      <c r="P11" s="27"/>
    </row>
    <row r="12" spans="1:16" ht="14.45" customHeight="1" x14ac:dyDescent="0.25">
      <c r="J12" s="5" t="s">
        <v>7</v>
      </c>
      <c r="K12" s="27">
        <v>112</v>
      </c>
      <c r="L12" s="27"/>
      <c r="M12" s="27"/>
      <c r="N12" s="27"/>
      <c r="O12" s="27"/>
      <c r="P12" s="27"/>
    </row>
    <row r="13" spans="1:16" ht="15.75" x14ac:dyDescent="0.25">
      <c r="J13" s="12" t="s">
        <v>11</v>
      </c>
      <c r="K13" s="27" t="s">
        <v>12</v>
      </c>
      <c r="L13" s="27"/>
      <c r="M13" s="27"/>
      <c r="N13" s="27"/>
      <c r="O13" s="27"/>
      <c r="P13" s="27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pageMargins left="0.45" right="0.4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B814-423C-47C2-94D5-F3234301FB72}">
  <dimension ref="A1:P13"/>
  <sheetViews>
    <sheetView tabSelected="1" zoomScale="70" zoomScaleNormal="70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28" t="s">
        <v>1</v>
      </c>
      <c r="B1" s="29"/>
      <c r="C1" s="4">
        <f>K12</f>
        <v>311</v>
      </c>
      <c r="D1" s="28" t="s">
        <v>3</v>
      </c>
      <c r="E1" s="29"/>
      <c r="F1" s="28">
        <f>K11</f>
        <v>41</v>
      </c>
      <c r="G1" s="29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8</v>
      </c>
      <c r="L2" s="17" t="s">
        <v>10</v>
      </c>
      <c r="M2" s="13" t="s">
        <v>8</v>
      </c>
      <c r="N2" s="17" t="s">
        <v>10</v>
      </c>
      <c r="O2" s="13" t="s">
        <v>8</v>
      </c>
      <c r="P2" s="17" t="s">
        <v>10</v>
      </c>
    </row>
    <row r="3" spans="1:16" ht="85.15" customHeight="1" x14ac:dyDescent="0.25">
      <c r="A3" s="2">
        <v>1</v>
      </c>
      <c r="B3" s="6" t="s">
        <v>2</v>
      </c>
      <c r="C3" s="1" t="s">
        <v>245</v>
      </c>
      <c r="D3" s="1" t="s">
        <v>246</v>
      </c>
      <c r="E3" s="1" t="s">
        <v>247</v>
      </c>
      <c r="F3" s="1" t="s">
        <v>248</v>
      </c>
      <c r="G3" s="1" t="s">
        <v>249</v>
      </c>
      <c r="J3" s="12">
        <v>1</v>
      </c>
      <c r="K3" s="7"/>
      <c r="L3" s="16">
        <v>340152</v>
      </c>
      <c r="M3" s="16">
        <v>340088</v>
      </c>
      <c r="N3" s="16">
        <v>340161</v>
      </c>
      <c r="O3" s="16">
        <v>340099</v>
      </c>
      <c r="P3" s="16">
        <v>340175</v>
      </c>
    </row>
    <row r="4" spans="1:16" ht="85.15" customHeight="1" x14ac:dyDescent="0.25">
      <c r="A4" s="2">
        <v>2</v>
      </c>
      <c r="B4" s="1" t="s">
        <v>250</v>
      </c>
      <c r="C4" s="1" t="s">
        <v>251</v>
      </c>
      <c r="D4" s="1" t="s">
        <v>252</v>
      </c>
      <c r="E4" s="1" t="s">
        <v>253</v>
      </c>
      <c r="F4" s="1" t="s">
        <v>254</v>
      </c>
      <c r="G4" s="1" t="s">
        <v>255</v>
      </c>
      <c r="J4" s="12">
        <v>2</v>
      </c>
      <c r="K4" s="16">
        <v>340072</v>
      </c>
      <c r="L4" s="16">
        <v>340153</v>
      </c>
      <c r="M4" s="16">
        <v>340091</v>
      </c>
      <c r="N4" s="16">
        <v>340164</v>
      </c>
      <c r="O4" s="16">
        <v>340101</v>
      </c>
      <c r="P4" s="16">
        <v>340177</v>
      </c>
    </row>
    <row r="5" spans="1:16" ht="85.15" customHeight="1" x14ac:dyDescent="0.25">
      <c r="A5" s="2">
        <v>3</v>
      </c>
      <c r="B5" s="1" t="s">
        <v>256</v>
      </c>
      <c r="C5" s="1" t="s">
        <v>257</v>
      </c>
      <c r="D5" s="1" t="s">
        <v>258</v>
      </c>
      <c r="E5" s="1" t="s">
        <v>259</v>
      </c>
      <c r="F5" s="1" t="s">
        <v>260</v>
      </c>
      <c r="G5" s="1" t="s">
        <v>261</v>
      </c>
      <c r="J5" s="12">
        <v>3</v>
      </c>
      <c r="K5" s="16">
        <v>340073</v>
      </c>
      <c r="L5" s="16">
        <v>340154</v>
      </c>
      <c r="M5" s="16">
        <v>340093</v>
      </c>
      <c r="N5" s="16">
        <v>340165</v>
      </c>
      <c r="O5" s="20">
        <v>248191</v>
      </c>
      <c r="P5" s="16">
        <v>340181</v>
      </c>
    </row>
    <row r="6" spans="1:16" ht="85.15" customHeight="1" x14ac:dyDescent="0.25">
      <c r="A6" s="2">
        <v>4</v>
      </c>
      <c r="B6" s="1" t="s">
        <v>262</v>
      </c>
      <c r="C6" s="1" t="s">
        <v>263</v>
      </c>
      <c r="D6" s="1" t="s">
        <v>264</v>
      </c>
      <c r="E6" s="1" t="s">
        <v>265</v>
      </c>
      <c r="F6" s="1" t="s">
        <v>266</v>
      </c>
      <c r="G6" s="1" t="s">
        <v>267</v>
      </c>
      <c r="J6" s="12">
        <v>4</v>
      </c>
      <c r="K6" s="16">
        <v>340074</v>
      </c>
      <c r="L6" s="16">
        <v>340155</v>
      </c>
      <c r="M6" s="16">
        <v>340094</v>
      </c>
      <c r="N6" s="16">
        <v>340167</v>
      </c>
      <c r="O6" s="20">
        <v>248400</v>
      </c>
      <c r="P6" s="16">
        <v>340182</v>
      </c>
    </row>
    <row r="7" spans="1:16" ht="85.15" customHeight="1" x14ac:dyDescent="0.25">
      <c r="A7" s="2">
        <v>5</v>
      </c>
      <c r="B7" s="1" t="s">
        <v>268</v>
      </c>
      <c r="C7" s="1" t="s">
        <v>269</v>
      </c>
      <c r="D7" s="1" t="s">
        <v>270</v>
      </c>
      <c r="E7" s="1" t="s">
        <v>271</v>
      </c>
      <c r="F7" s="1" t="s">
        <v>272</v>
      </c>
      <c r="G7" s="1" t="s">
        <v>273</v>
      </c>
      <c r="J7" s="12">
        <v>5</v>
      </c>
      <c r="K7" s="16">
        <v>340077</v>
      </c>
      <c r="L7" s="16">
        <v>340156</v>
      </c>
      <c r="M7" s="16">
        <v>340096</v>
      </c>
      <c r="N7" s="16">
        <v>340169</v>
      </c>
      <c r="O7" s="20">
        <v>248401</v>
      </c>
      <c r="P7" s="16">
        <v>340184</v>
      </c>
    </row>
    <row r="8" spans="1:16" ht="85.15" customHeight="1" x14ac:dyDescent="0.25">
      <c r="A8" s="2">
        <v>6</v>
      </c>
      <c r="B8" s="1" t="s">
        <v>274</v>
      </c>
      <c r="C8" s="1" t="s">
        <v>275</v>
      </c>
      <c r="D8" s="1" t="s">
        <v>276</v>
      </c>
      <c r="E8" s="1" t="s">
        <v>277</v>
      </c>
      <c r="F8" s="1" t="s">
        <v>278</v>
      </c>
      <c r="G8" s="1" t="s">
        <v>279</v>
      </c>
      <c r="J8" s="12">
        <v>6</v>
      </c>
      <c r="K8" s="16">
        <v>340079</v>
      </c>
      <c r="L8" s="16">
        <v>340158</v>
      </c>
      <c r="M8" s="16">
        <v>340097</v>
      </c>
      <c r="N8" s="16">
        <v>340173</v>
      </c>
      <c r="O8" s="20">
        <v>248402</v>
      </c>
      <c r="P8" s="16">
        <v>340187</v>
      </c>
    </row>
    <row r="9" spans="1:16" ht="85.15" customHeight="1" x14ac:dyDescent="0.25">
      <c r="A9" s="2">
        <v>7</v>
      </c>
      <c r="B9" s="1" t="s">
        <v>280</v>
      </c>
      <c r="C9" s="1" t="s">
        <v>281</v>
      </c>
      <c r="D9" s="1" t="s">
        <v>282</v>
      </c>
      <c r="E9" s="1" t="s">
        <v>283</v>
      </c>
      <c r="F9" s="1" t="s">
        <v>284</v>
      </c>
      <c r="G9" s="1" t="s">
        <v>285</v>
      </c>
      <c r="J9" s="12">
        <v>7</v>
      </c>
      <c r="K9" s="16">
        <v>340082</v>
      </c>
      <c r="L9" s="16">
        <v>340160</v>
      </c>
      <c r="M9" s="16">
        <v>340098</v>
      </c>
      <c r="N9" s="16">
        <v>340174</v>
      </c>
      <c r="O9" s="20">
        <v>248465</v>
      </c>
      <c r="P9" s="16">
        <v>340189</v>
      </c>
    </row>
    <row r="10" spans="1:16" ht="15.75" x14ac:dyDescent="0.25">
      <c r="J10" s="12" t="s">
        <v>5</v>
      </c>
      <c r="K10" s="31">
        <f>COUNTA(K3:M9)</f>
        <v>20</v>
      </c>
      <c r="L10" s="32"/>
      <c r="M10" s="33"/>
      <c r="N10" s="31">
        <f>COUNTA(N3:P9)</f>
        <v>21</v>
      </c>
      <c r="O10" s="32"/>
      <c r="P10" s="33"/>
    </row>
    <row r="11" spans="1:16" ht="14.45" customHeight="1" x14ac:dyDescent="0.25">
      <c r="J11" s="12" t="s">
        <v>6</v>
      </c>
      <c r="K11" s="27">
        <f>K10+N10</f>
        <v>41</v>
      </c>
      <c r="L11" s="27"/>
      <c r="M11" s="27"/>
      <c r="N11" s="27"/>
      <c r="O11" s="27"/>
      <c r="P11" s="27"/>
    </row>
    <row r="12" spans="1:16" ht="14.45" customHeight="1" x14ac:dyDescent="0.25">
      <c r="J12" s="5" t="s">
        <v>7</v>
      </c>
      <c r="K12" s="27">
        <v>311</v>
      </c>
      <c r="L12" s="27"/>
      <c r="M12" s="27"/>
      <c r="N12" s="27"/>
      <c r="O12" s="27"/>
      <c r="P12" s="27"/>
    </row>
    <row r="13" spans="1:16" ht="15.75" x14ac:dyDescent="0.25">
      <c r="J13" s="12" t="s">
        <v>11</v>
      </c>
      <c r="K13" s="27" t="s">
        <v>12</v>
      </c>
      <c r="L13" s="27"/>
      <c r="M13" s="27"/>
      <c r="N13" s="27"/>
      <c r="O13" s="27"/>
      <c r="P13" s="27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pageMargins left="0.45" right="0.4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DE84-2555-48E5-AAF1-EA370FAD5374}">
  <dimension ref="A1:P13"/>
  <sheetViews>
    <sheetView zoomScale="70" zoomScaleNormal="70" workbookViewId="0">
      <selection activeCell="B3" sqref="B3:G9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28" t="s">
        <v>1</v>
      </c>
      <c r="B1" s="29"/>
      <c r="C1" s="4">
        <f>K12</f>
        <v>312</v>
      </c>
      <c r="D1" s="28" t="s">
        <v>3</v>
      </c>
      <c r="E1" s="29"/>
      <c r="F1" s="28">
        <f>K11</f>
        <v>37</v>
      </c>
      <c r="G1" s="29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10</v>
      </c>
      <c r="L2" s="17" t="s">
        <v>13</v>
      </c>
      <c r="M2" s="13" t="s">
        <v>10</v>
      </c>
      <c r="N2" s="17" t="s">
        <v>13</v>
      </c>
      <c r="O2" s="13" t="s">
        <v>10</v>
      </c>
      <c r="P2" s="17" t="s">
        <v>13</v>
      </c>
    </row>
    <row r="3" spans="1:16" ht="85.15" customHeight="1" x14ac:dyDescent="0.25">
      <c r="A3" s="2">
        <v>1</v>
      </c>
      <c r="B3" s="6" t="s">
        <v>2</v>
      </c>
      <c r="C3" s="1" t="s">
        <v>286</v>
      </c>
      <c r="D3" s="1" t="s">
        <v>287</v>
      </c>
      <c r="E3" s="1" t="s">
        <v>288</v>
      </c>
      <c r="F3" s="1" t="s">
        <v>289</v>
      </c>
      <c r="G3" s="1" t="s">
        <v>290</v>
      </c>
      <c r="J3" s="12">
        <v>1</v>
      </c>
      <c r="K3" s="7"/>
      <c r="L3" s="16">
        <v>340215</v>
      </c>
      <c r="M3" s="16">
        <v>340198</v>
      </c>
      <c r="N3" s="16">
        <v>340223</v>
      </c>
      <c r="O3" s="16">
        <v>340210</v>
      </c>
      <c r="P3" s="16">
        <v>340241</v>
      </c>
    </row>
    <row r="4" spans="1:16" ht="85.15" customHeight="1" x14ac:dyDescent="0.25">
      <c r="A4" s="2">
        <v>2</v>
      </c>
      <c r="B4" s="1" t="s">
        <v>291</v>
      </c>
      <c r="C4" s="1" t="s">
        <v>292</v>
      </c>
      <c r="D4" s="1" t="s">
        <v>293</v>
      </c>
      <c r="E4" s="1" t="s">
        <v>294</v>
      </c>
      <c r="F4" s="1" t="s">
        <v>295</v>
      </c>
      <c r="G4" s="1" t="s">
        <v>296</v>
      </c>
      <c r="J4" s="12">
        <v>2</v>
      </c>
      <c r="K4" s="16">
        <v>340191</v>
      </c>
      <c r="L4" s="16">
        <v>340216</v>
      </c>
      <c r="M4" s="16">
        <v>340202</v>
      </c>
      <c r="N4" s="16">
        <v>340224</v>
      </c>
      <c r="O4" s="16">
        <v>340211</v>
      </c>
      <c r="P4" s="16">
        <v>340244</v>
      </c>
    </row>
    <row r="5" spans="1:16" ht="85.15" customHeight="1" x14ac:dyDescent="0.25">
      <c r="A5" s="2">
        <v>3</v>
      </c>
      <c r="B5" s="1" t="s">
        <v>297</v>
      </c>
      <c r="C5" s="1" t="s">
        <v>298</v>
      </c>
      <c r="D5" s="1" t="s">
        <v>299</v>
      </c>
      <c r="E5" s="1" t="s">
        <v>300</v>
      </c>
      <c r="F5" s="1" t="s">
        <v>301</v>
      </c>
      <c r="G5" s="1" t="s">
        <v>302</v>
      </c>
      <c r="J5" s="12">
        <v>3</v>
      </c>
      <c r="K5" s="16">
        <v>340192</v>
      </c>
      <c r="L5" s="16">
        <v>340217</v>
      </c>
      <c r="M5" s="16">
        <v>340203</v>
      </c>
      <c r="N5" s="16">
        <v>340229</v>
      </c>
      <c r="O5" s="20" t="s">
        <v>14</v>
      </c>
      <c r="P5" s="16">
        <v>340246</v>
      </c>
    </row>
    <row r="6" spans="1:16" ht="85.15" customHeight="1" x14ac:dyDescent="0.25">
      <c r="A6" s="2">
        <v>4</v>
      </c>
      <c r="B6" s="1" t="s">
        <v>303</v>
      </c>
      <c r="C6" s="1" t="s">
        <v>304</v>
      </c>
      <c r="D6" s="1" t="s">
        <v>305</v>
      </c>
      <c r="E6" s="1" t="s">
        <v>306</v>
      </c>
      <c r="F6" s="1" t="s">
        <v>307</v>
      </c>
      <c r="G6" s="1" t="s">
        <v>308</v>
      </c>
      <c r="J6" s="12">
        <v>4</v>
      </c>
      <c r="K6" s="16">
        <v>340194</v>
      </c>
      <c r="L6" s="16">
        <v>340218</v>
      </c>
      <c r="M6" s="16">
        <v>340204</v>
      </c>
      <c r="N6" s="16">
        <v>340231</v>
      </c>
      <c r="O6" s="8"/>
      <c r="P6" s="16">
        <v>340249</v>
      </c>
    </row>
    <row r="7" spans="1:16" ht="85.15" customHeight="1" x14ac:dyDescent="0.25">
      <c r="A7" s="2">
        <v>5</v>
      </c>
      <c r="B7" s="1" t="s">
        <v>309</v>
      </c>
      <c r="C7" s="1" t="s">
        <v>310</v>
      </c>
      <c r="D7" s="1" t="s">
        <v>311</v>
      </c>
      <c r="E7" s="1" t="s">
        <v>312</v>
      </c>
      <c r="F7" s="1" t="s">
        <v>307</v>
      </c>
      <c r="G7" s="1" t="s">
        <v>313</v>
      </c>
      <c r="J7" s="12">
        <v>5</v>
      </c>
      <c r="K7" s="16">
        <v>340195</v>
      </c>
      <c r="L7" s="16">
        <v>340220</v>
      </c>
      <c r="M7" s="16">
        <v>340205</v>
      </c>
      <c r="N7" s="16">
        <v>340232</v>
      </c>
      <c r="O7" s="9"/>
      <c r="P7" s="16">
        <v>340250</v>
      </c>
    </row>
    <row r="8" spans="1:16" ht="85.15" customHeight="1" x14ac:dyDescent="0.25">
      <c r="A8" s="2">
        <v>6</v>
      </c>
      <c r="B8" s="1" t="s">
        <v>314</v>
      </c>
      <c r="C8" s="1" t="s">
        <v>315</v>
      </c>
      <c r="D8" s="1" t="s">
        <v>316</v>
      </c>
      <c r="E8" s="1" t="s">
        <v>317</v>
      </c>
      <c r="F8" s="1" t="s">
        <v>307</v>
      </c>
      <c r="G8" s="1" t="s">
        <v>318</v>
      </c>
      <c r="J8" s="12">
        <v>6</v>
      </c>
      <c r="K8" s="16">
        <v>340196</v>
      </c>
      <c r="L8" s="16">
        <v>340221</v>
      </c>
      <c r="M8" s="16">
        <v>340206</v>
      </c>
      <c r="N8" s="16">
        <v>340233</v>
      </c>
      <c r="O8" s="8"/>
      <c r="P8" s="16">
        <v>340251</v>
      </c>
    </row>
    <row r="9" spans="1:16" ht="85.15" customHeight="1" x14ac:dyDescent="0.25">
      <c r="A9" s="2">
        <v>7</v>
      </c>
      <c r="B9" s="1" t="s">
        <v>319</v>
      </c>
      <c r="C9" s="1" t="s">
        <v>320</v>
      </c>
      <c r="D9" s="1" t="s">
        <v>321</v>
      </c>
      <c r="E9" s="1" t="s">
        <v>322</v>
      </c>
      <c r="F9" s="1" t="s">
        <v>307</v>
      </c>
      <c r="G9" s="1" t="s">
        <v>323</v>
      </c>
      <c r="J9" s="12">
        <v>7</v>
      </c>
      <c r="K9" s="16">
        <v>340197</v>
      </c>
      <c r="L9" s="16">
        <v>340222</v>
      </c>
      <c r="M9" s="16">
        <v>340207</v>
      </c>
      <c r="N9" s="16">
        <v>340238</v>
      </c>
      <c r="O9" s="9"/>
      <c r="P9" s="16">
        <v>340252</v>
      </c>
    </row>
    <row r="10" spans="1:16" ht="15.75" x14ac:dyDescent="0.25">
      <c r="J10" s="12" t="s">
        <v>5</v>
      </c>
      <c r="K10" s="31">
        <f>COUNTA(K3:M9)</f>
        <v>20</v>
      </c>
      <c r="L10" s="32"/>
      <c r="M10" s="33"/>
      <c r="N10" s="31">
        <f>COUNTA(N3:P9)</f>
        <v>17</v>
      </c>
      <c r="O10" s="32"/>
      <c r="P10" s="33"/>
    </row>
    <row r="11" spans="1:16" ht="14.45" customHeight="1" x14ac:dyDescent="0.25">
      <c r="J11" s="12" t="s">
        <v>6</v>
      </c>
      <c r="K11" s="27">
        <f>K10+N10</f>
        <v>37</v>
      </c>
      <c r="L11" s="27"/>
      <c r="M11" s="27"/>
      <c r="N11" s="27"/>
      <c r="O11" s="27"/>
      <c r="P11" s="27"/>
    </row>
    <row r="12" spans="1:16" ht="14.45" customHeight="1" x14ac:dyDescent="0.25">
      <c r="J12" s="5" t="s">
        <v>7</v>
      </c>
      <c r="K12" s="27">
        <v>312</v>
      </c>
      <c r="L12" s="27"/>
      <c r="M12" s="27"/>
      <c r="N12" s="27"/>
      <c r="O12" s="27"/>
      <c r="P12" s="27"/>
    </row>
    <row r="13" spans="1:16" ht="15.75" x14ac:dyDescent="0.25">
      <c r="J13" s="12" t="s">
        <v>11</v>
      </c>
      <c r="K13" s="27" t="s">
        <v>12</v>
      </c>
      <c r="L13" s="27"/>
      <c r="M13" s="27"/>
      <c r="N13" s="27"/>
      <c r="O13" s="27"/>
      <c r="P13" s="27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pageMargins left="0.45" right="0.4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2BA2-6AA6-425F-B4AD-BA67A78DCA1C}">
  <dimension ref="A1:P13"/>
  <sheetViews>
    <sheetView zoomScale="70" zoomScaleNormal="70" workbookViewId="0">
      <selection activeCell="J1" sqref="J1:T1048576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28" t="s">
        <v>1</v>
      </c>
      <c r="B1" s="29"/>
      <c r="C1" s="4">
        <f>K12</f>
        <v>313</v>
      </c>
      <c r="D1" s="28" t="s">
        <v>3</v>
      </c>
      <c r="E1" s="29"/>
      <c r="F1" s="28">
        <f>K11</f>
        <v>36</v>
      </c>
      <c r="G1" s="29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12" t="s">
        <v>4</v>
      </c>
      <c r="K2" s="13" t="s">
        <v>13</v>
      </c>
      <c r="L2" s="17" t="s">
        <v>15</v>
      </c>
      <c r="M2" s="13" t="s">
        <v>13</v>
      </c>
      <c r="N2" s="17" t="s">
        <v>15</v>
      </c>
      <c r="O2" s="13" t="s">
        <v>13</v>
      </c>
      <c r="P2" s="17" t="s">
        <v>15</v>
      </c>
    </row>
    <row r="3" spans="1:16" ht="85.15" customHeight="1" x14ac:dyDescent="0.25">
      <c r="A3" s="2">
        <v>1</v>
      </c>
      <c r="B3" s="6" t="s">
        <v>2</v>
      </c>
      <c r="C3" s="1" t="s">
        <v>324</v>
      </c>
      <c r="D3" s="1" t="s">
        <v>325</v>
      </c>
      <c r="E3" s="1" t="s">
        <v>326</v>
      </c>
      <c r="F3" s="1" t="s">
        <v>327</v>
      </c>
      <c r="G3" s="1" t="s">
        <v>328</v>
      </c>
      <c r="J3" s="12">
        <v>1</v>
      </c>
      <c r="K3" s="7"/>
      <c r="L3" s="16">
        <v>340273</v>
      </c>
      <c r="M3" s="16">
        <v>340260</v>
      </c>
      <c r="N3" s="16">
        <v>340283</v>
      </c>
      <c r="O3" s="10">
        <v>248277</v>
      </c>
      <c r="P3" s="16">
        <v>340294</v>
      </c>
    </row>
    <row r="4" spans="1:16" ht="85.15" customHeight="1" x14ac:dyDescent="0.25">
      <c r="A4" s="2">
        <v>2</v>
      </c>
      <c r="B4" s="1" t="s">
        <v>329</v>
      </c>
      <c r="C4" s="1" t="s">
        <v>330</v>
      </c>
      <c r="D4" s="1" t="s">
        <v>331</v>
      </c>
      <c r="E4" s="1" t="s">
        <v>332</v>
      </c>
      <c r="F4" s="1" t="s">
        <v>333</v>
      </c>
      <c r="G4" s="1" t="s">
        <v>334</v>
      </c>
      <c r="J4" s="12">
        <v>2</v>
      </c>
      <c r="K4" s="16">
        <v>340253</v>
      </c>
      <c r="L4" s="16">
        <v>340274</v>
      </c>
      <c r="M4" s="16">
        <v>340261</v>
      </c>
      <c r="N4" s="16">
        <v>340287</v>
      </c>
      <c r="O4" s="11">
        <v>248291</v>
      </c>
      <c r="P4" s="16">
        <v>340295</v>
      </c>
    </row>
    <row r="5" spans="1:16" ht="85.15" customHeight="1" x14ac:dyDescent="0.25">
      <c r="A5" s="2">
        <v>3</v>
      </c>
      <c r="B5" s="1" t="s">
        <v>335</v>
      </c>
      <c r="C5" s="1" t="s">
        <v>336</v>
      </c>
      <c r="D5" s="1" t="s">
        <v>337</v>
      </c>
      <c r="E5" s="1" t="s">
        <v>338</v>
      </c>
      <c r="F5" s="1" t="s">
        <v>339</v>
      </c>
      <c r="G5" s="1" t="s">
        <v>340</v>
      </c>
      <c r="J5" s="12">
        <v>3</v>
      </c>
      <c r="K5" s="16">
        <v>340254</v>
      </c>
      <c r="L5" s="16">
        <v>340275</v>
      </c>
      <c r="M5" s="16">
        <v>340262</v>
      </c>
      <c r="N5" s="16">
        <v>340288</v>
      </c>
      <c r="O5" s="9"/>
      <c r="P5" s="16">
        <v>340296</v>
      </c>
    </row>
    <row r="6" spans="1:16" ht="85.15" customHeight="1" x14ac:dyDescent="0.25">
      <c r="A6" s="2">
        <v>4</v>
      </c>
      <c r="B6" s="1" t="s">
        <v>341</v>
      </c>
      <c r="C6" s="1" t="s">
        <v>342</v>
      </c>
      <c r="D6" s="1" t="s">
        <v>343</v>
      </c>
      <c r="E6" s="1" t="s">
        <v>344</v>
      </c>
      <c r="F6" s="1" t="s">
        <v>339</v>
      </c>
      <c r="G6" s="1" t="s">
        <v>345</v>
      </c>
      <c r="J6" s="12">
        <v>4</v>
      </c>
      <c r="K6" s="16">
        <v>340255</v>
      </c>
      <c r="L6" s="16">
        <v>340277</v>
      </c>
      <c r="M6" s="16">
        <v>340265</v>
      </c>
      <c r="N6" s="16">
        <v>340289</v>
      </c>
      <c r="O6" s="8"/>
      <c r="P6" s="16">
        <v>340303</v>
      </c>
    </row>
    <row r="7" spans="1:16" ht="85.15" customHeight="1" x14ac:dyDescent="0.25">
      <c r="A7" s="2">
        <v>5</v>
      </c>
      <c r="B7" s="1" t="s">
        <v>346</v>
      </c>
      <c r="C7" s="1" t="s">
        <v>347</v>
      </c>
      <c r="D7" s="1" t="s">
        <v>348</v>
      </c>
      <c r="E7" s="1" t="s">
        <v>349</v>
      </c>
      <c r="F7" s="1" t="s">
        <v>339</v>
      </c>
      <c r="G7" s="1" t="s">
        <v>350</v>
      </c>
      <c r="J7" s="12">
        <v>5</v>
      </c>
      <c r="K7" s="16">
        <v>340257</v>
      </c>
      <c r="L7" s="16">
        <v>340279</v>
      </c>
      <c r="M7" s="16">
        <v>340266</v>
      </c>
      <c r="N7" s="16">
        <v>340290</v>
      </c>
      <c r="O7" s="9"/>
      <c r="P7" s="16">
        <v>340308</v>
      </c>
    </row>
    <row r="8" spans="1:16" ht="85.15" customHeight="1" x14ac:dyDescent="0.25">
      <c r="A8" s="2">
        <v>6</v>
      </c>
      <c r="B8" s="1" t="s">
        <v>351</v>
      </c>
      <c r="C8" s="1" t="s">
        <v>352</v>
      </c>
      <c r="D8" s="1" t="s">
        <v>353</v>
      </c>
      <c r="E8" s="1" t="s">
        <v>354</v>
      </c>
      <c r="F8" s="1" t="s">
        <v>339</v>
      </c>
      <c r="G8" s="1" t="s">
        <v>355</v>
      </c>
      <c r="J8" s="12">
        <v>6</v>
      </c>
      <c r="K8" s="16">
        <v>340258</v>
      </c>
      <c r="L8" s="16">
        <v>340280</v>
      </c>
      <c r="M8" s="16">
        <v>340268</v>
      </c>
      <c r="N8" s="16">
        <v>340291</v>
      </c>
      <c r="O8" s="8"/>
      <c r="P8" s="16">
        <v>340309</v>
      </c>
    </row>
    <row r="9" spans="1:16" ht="85.15" customHeight="1" x14ac:dyDescent="0.25">
      <c r="A9" s="2">
        <v>7</v>
      </c>
      <c r="B9" s="1" t="s">
        <v>356</v>
      </c>
      <c r="C9" s="1" t="s">
        <v>357</v>
      </c>
      <c r="D9" s="1" t="s">
        <v>358</v>
      </c>
      <c r="E9" s="1" t="s">
        <v>359</v>
      </c>
      <c r="F9" s="1" t="s">
        <v>339</v>
      </c>
      <c r="G9" s="1" t="s">
        <v>360</v>
      </c>
      <c r="J9" s="12">
        <v>7</v>
      </c>
      <c r="K9" s="16">
        <v>340259</v>
      </c>
      <c r="L9" s="16">
        <v>340282</v>
      </c>
      <c r="M9" s="23">
        <v>248564</v>
      </c>
      <c r="N9" s="16">
        <v>340292</v>
      </c>
      <c r="O9" s="9"/>
      <c r="P9" s="16">
        <v>340310</v>
      </c>
    </row>
    <row r="10" spans="1:16" ht="15.75" x14ac:dyDescent="0.25">
      <c r="J10" s="12" t="s">
        <v>5</v>
      </c>
      <c r="K10" s="37">
        <f>COUNTA(K3:M9)</f>
        <v>20</v>
      </c>
      <c r="L10" s="38"/>
      <c r="M10" s="39"/>
      <c r="N10" s="40">
        <f>COUNTA(N3:P9)</f>
        <v>16</v>
      </c>
      <c r="O10" s="41"/>
      <c r="P10" s="42"/>
    </row>
    <row r="11" spans="1:16" ht="14.45" customHeight="1" x14ac:dyDescent="0.25">
      <c r="J11" s="12" t="s">
        <v>6</v>
      </c>
      <c r="K11" s="34">
        <f>K10+N10</f>
        <v>36</v>
      </c>
      <c r="L11" s="35"/>
      <c r="M11" s="35"/>
      <c r="N11" s="35"/>
      <c r="O11" s="35"/>
      <c r="P11" s="36"/>
    </row>
    <row r="12" spans="1:16" ht="14.45" customHeight="1" x14ac:dyDescent="0.25">
      <c r="J12" s="5" t="s">
        <v>7</v>
      </c>
      <c r="K12" s="34">
        <v>313</v>
      </c>
      <c r="L12" s="35"/>
      <c r="M12" s="35"/>
      <c r="N12" s="35"/>
      <c r="O12" s="35"/>
      <c r="P12" s="36"/>
    </row>
    <row r="13" spans="1:16" ht="15.75" x14ac:dyDescent="0.25">
      <c r="J13" s="12" t="s">
        <v>11</v>
      </c>
      <c r="K13" s="34" t="s">
        <v>12</v>
      </c>
      <c r="L13" s="35"/>
      <c r="M13" s="35"/>
      <c r="N13" s="35"/>
      <c r="O13" s="35"/>
      <c r="P13" s="36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pageMargins left="0.45" right="0.45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CCF9-CB5F-4437-AD2D-49988529ED66}">
  <dimension ref="A1:P13"/>
  <sheetViews>
    <sheetView zoomScale="70" zoomScaleNormal="70" workbookViewId="0">
      <selection activeCell="U4" sqref="U4"/>
    </sheetView>
  </sheetViews>
  <sheetFormatPr defaultRowHeight="15" x14ac:dyDescent="0.25"/>
  <cols>
    <col min="1" max="1" width="2.7109375" bestFit="1" customWidth="1"/>
    <col min="2" max="7" width="14.7109375" customWidth="1"/>
    <col min="10" max="15" width="8.85546875" style="2"/>
  </cols>
  <sheetData>
    <row r="1" spans="1:16" ht="27" customHeight="1" x14ac:dyDescent="0.25">
      <c r="A1" s="28" t="s">
        <v>1</v>
      </c>
      <c r="B1" s="29"/>
      <c r="C1" s="4">
        <f>K12</f>
        <v>411</v>
      </c>
      <c r="D1" s="28" t="s">
        <v>3</v>
      </c>
      <c r="E1" s="29"/>
      <c r="F1" s="28">
        <f>K11</f>
        <v>33</v>
      </c>
      <c r="G1" s="29"/>
    </row>
    <row r="2" spans="1:16" ht="15.75" x14ac:dyDescent="0.25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J2" s="21" t="s">
        <v>4</v>
      </c>
      <c r="K2" s="22" t="s">
        <v>15</v>
      </c>
      <c r="L2" s="22" t="s">
        <v>8</v>
      </c>
      <c r="M2" s="22" t="s">
        <v>15</v>
      </c>
      <c r="N2" s="22" t="s">
        <v>10</v>
      </c>
      <c r="O2" s="22" t="s">
        <v>15</v>
      </c>
      <c r="P2" s="22" t="s">
        <v>15</v>
      </c>
    </row>
    <row r="3" spans="1:16" ht="85.15" customHeight="1" x14ac:dyDescent="0.25">
      <c r="A3" s="2">
        <v>1</v>
      </c>
      <c r="B3" s="6" t="s">
        <v>2</v>
      </c>
      <c r="C3" s="1" t="s">
        <v>361</v>
      </c>
      <c r="D3" s="1" t="s">
        <v>362</v>
      </c>
      <c r="E3" s="1" t="s">
        <v>363</v>
      </c>
      <c r="F3" s="1" t="s">
        <v>364</v>
      </c>
      <c r="G3" s="1" t="s">
        <v>365</v>
      </c>
      <c r="J3" s="21">
        <v>1</v>
      </c>
      <c r="K3" s="7"/>
      <c r="L3" s="24">
        <v>248210</v>
      </c>
      <c r="M3" s="16">
        <v>340324</v>
      </c>
      <c r="N3" s="24">
        <v>248217</v>
      </c>
      <c r="O3" s="16">
        <v>340337</v>
      </c>
      <c r="P3" s="24">
        <v>248318</v>
      </c>
    </row>
    <row r="4" spans="1:16" ht="85.15" customHeight="1" x14ac:dyDescent="0.25">
      <c r="A4" s="2">
        <v>2</v>
      </c>
      <c r="B4" s="1" t="s">
        <v>366</v>
      </c>
      <c r="C4" s="1" t="s">
        <v>367</v>
      </c>
      <c r="D4" s="1" t="s">
        <v>368</v>
      </c>
      <c r="E4" s="1" t="s">
        <v>369</v>
      </c>
      <c r="F4" s="1" t="s">
        <v>370</v>
      </c>
      <c r="G4" s="1" t="s">
        <v>371</v>
      </c>
      <c r="J4" s="21">
        <v>2</v>
      </c>
      <c r="K4" s="16">
        <v>340311</v>
      </c>
      <c r="L4" s="24">
        <v>339948</v>
      </c>
      <c r="M4" s="16">
        <v>340330</v>
      </c>
      <c r="N4" s="24">
        <v>248508</v>
      </c>
      <c r="O4" s="16">
        <v>340340</v>
      </c>
      <c r="P4" s="25"/>
    </row>
    <row r="5" spans="1:16" ht="85.15" customHeight="1" x14ac:dyDescent="0.25">
      <c r="A5" s="2">
        <v>3</v>
      </c>
      <c r="B5" s="1" t="s">
        <v>372</v>
      </c>
      <c r="C5" s="1" t="s">
        <v>373</v>
      </c>
      <c r="D5" s="1" t="s">
        <v>374</v>
      </c>
      <c r="E5" s="1" t="s">
        <v>375</v>
      </c>
      <c r="F5" s="1" t="s">
        <v>376</v>
      </c>
      <c r="G5" s="1" t="s">
        <v>371</v>
      </c>
      <c r="J5" s="21">
        <v>3</v>
      </c>
      <c r="K5" s="16">
        <v>340314</v>
      </c>
      <c r="L5" s="24">
        <v>339953</v>
      </c>
      <c r="M5" s="16">
        <v>340331</v>
      </c>
      <c r="N5" s="24">
        <v>270914</v>
      </c>
      <c r="O5" s="16">
        <v>340341</v>
      </c>
      <c r="P5" s="26"/>
    </row>
    <row r="6" spans="1:16" ht="85.15" customHeight="1" x14ac:dyDescent="0.25">
      <c r="A6" s="2">
        <v>4</v>
      </c>
      <c r="B6" s="1" t="s">
        <v>377</v>
      </c>
      <c r="C6" s="1" t="s">
        <v>378</v>
      </c>
      <c r="D6" s="1" t="s">
        <v>379</v>
      </c>
      <c r="E6" s="1" t="s">
        <v>380</v>
      </c>
      <c r="F6" s="1" t="s">
        <v>381</v>
      </c>
      <c r="G6" s="1" t="s">
        <v>371</v>
      </c>
      <c r="J6" s="21">
        <v>4</v>
      </c>
      <c r="K6" s="16">
        <v>340319</v>
      </c>
      <c r="L6" s="24">
        <v>339960</v>
      </c>
      <c r="M6" s="16">
        <v>340332</v>
      </c>
      <c r="N6" s="24">
        <v>340148</v>
      </c>
      <c r="O6" s="16">
        <v>340342</v>
      </c>
      <c r="P6" s="25"/>
    </row>
    <row r="7" spans="1:16" ht="85.15" customHeight="1" x14ac:dyDescent="0.25">
      <c r="A7" s="2">
        <v>5</v>
      </c>
      <c r="B7" s="1" t="s">
        <v>382</v>
      </c>
      <c r="C7" s="1" t="s">
        <v>383</v>
      </c>
      <c r="D7" s="1" t="s">
        <v>384</v>
      </c>
      <c r="E7" s="1" t="s">
        <v>385</v>
      </c>
      <c r="F7" s="1" t="s">
        <v>386</v>
      </c>
      <c r="G7" s="1" t="s">
        <v>371</v>
      </c>
      <c r="J7" s="21">
        <v>5</v>
      </c>
      <c r="K7" s="16">
        <v>340320</v>
      </c>
      <c r="L7" s="24">
        <v>340064</v>
      </c>
      <c r="M7" s="16">
        <v>340333</v>
      </c>
      <c r="N7" s="24">
        <v>340180</v>
      </c>
      <c r="O7" s="16">
        <v>340343</v>
      </c>
      <c r="P7" s="26"/>
    </row>
    <row r="8" spans="1:16" ht="85.15" customHeight="1" x14ac:dyDescent="0.25">
      <c r="A8" s="2">
        <v>6</v>
      </c>
      <c r="B8" s="1" t="s">
        <v>387</v>
      </c>
      <c r="C8" s="1" t="s">
        <v>388</v>
      </c>
      <c r="D8" s="1" t="s">
        <v>389</v>
      </c>
      <c r="E8" s="1" t="s">
        <v>307</v>
      </c>
      <c r="F8" s="1" t="s">
        <v>390</v>
      </c>
      <c r="G8" s="1" t="s">
        <v>371</v>
      </c>
      <c r="J8" s="21">
        <v>6</v>
      </c>
      <c r="K8" s="16">
        <v>340321</v>
      </c>
      <c r="L8" s="24">
        <v>340092</v>
      </c>
      <c r="M8" s="16">
        <v>340334</v>
      </c>
      <c r="N8" s="25"/>
      <c r="O8" s="16">
        <v>340344</v>
      </c>
      <c r="P8" s="25"/>
    </row>
    <row r="9" spans="1:16" ht="85.15" customHeight="1" x14ac:dyDescent="0.25">
      <c r="A9" s="2">
        <v>7</v>
      </c>
      <c r="B9" s="1" t="s">
        <v>391</v>
      </c>
      <c r="C9" s="1" t="s">
        <v>392</v>
      </c>
      <c r="D9" s="1" t="s">
        <v>393</v>
      </c>
      <c r="E9" s="1" t="s">
        <v>307</v>
      </c>
      <c r="F9" s="1" t="s">
        <v>394</v>
      </c>
      <c r="G9" s="1" t="s">
        <v>371</v>
      </c>
      <c r="J9" s="21">
        <v>7</v>
      </c>
      <c r="K9" s="16">
        <v>340322</v>
      </c>
      <c r="L9" s="19">
        <v>248620</v>
      </c>
      <c r="M9" s="16">
        <v>340335</v>
      </c>
      <c r="N9" s="26"/>
      <c r="O9" s="16">
        <v>358806</v>
      </c>
      <c r="P9" s="26"/>
    </row>
    <row r="10" spans="1:16" ht="15.75" x14ac:dyDescent="0.25">
      <c r="J10" s="21" t="s">
        <v>5</v>
      </c>
      <c r="K10" s="37">
        <f>COUNTA(K3:M9)</f>
        <v>20</v>
      </c>
      <c r="L10" s="38"/>
      <c r="M10" s="39"/>
      <c r="N10" s="37">
        <f>COUNTA(N3:P9)</f>
        <v>13</v>
      </c>
      <c r="O10" s="38"/>
      <c r="P10" s="39"/>
    </row>
    <row r="11" spans="1:16" ht="14.45" customHeight="1" x14ac:dyDescent="0.25">
      <c r="J11" s="21" t="s">
        <v>6</v>
      </c>
      <c r="K11" s="34">
        <f>K10+N10</f>
        <v>33</v>
      </c>
      <c r="L11" s="35"/>
      <c r="M11" s="35"/>
      <c r="N11" s="35"/>
      <c r="O11" s="35"/>
      <c r="P11" s="36"/>
    </row>
    <row r="12" spans="1:16" ht="14.45" customHeight="1" x14ac:dyDescent="0.25">
      <c r="J12" s="5" t="s">
        <v>7</v>
      </c>
      <c r="K12" s="34">
        <v>411</v>
      </c>
      <c r="L12" s="35"/>
      <c r="M12" s="35"/>
      <c r="N12" s="35"/>
      <c r="O12" s="35"/>
      <c r="P12" s="36"/>
    </row>
    <row r="13" spans="1:16" ht="15.75" x14ac:dyDescent="0.25">
      <c r="J13" s="21" t="s">
        <v>11</v>
      </c>
      <c r="K13" s="34" t="s">
        <v>12</v>
      </c>
      <c r="L13" s="35"/>
      <c r="M13" s="35"/>
      <c r="N13" s="35"/>
      <c r="O13" s="35"/>
      <c r="P13" s="36"/>
    </row>
  </sheetData>
  <mergeCells count="8">
    <mergeCell ref="K11:P11"/>
    <mergeCell ref="K12:P12"/>
    <mergeCell ref="K13:P13"/>
    <mergeCell ref="A1:B1"/>
    <mergeCell ref="D1:E1"/>
    <mergeCell ref="F1:G1"/>
    <mergeCell ref="K10:M10"/>
    <mergeCell ref="N10:P10"/>
  </mergeCells>
  <pageMargins left="0.45" right="0.4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115-47</vt:lpstr>
      <vt:lpstr>213-47</vt:lpstr>
      <vt:lpstr>214-47 </vt:lpstr>
      <vt:lpstr>215-47</vt:lpstr>
      <vt:lpstr>112-41</vt:lpstr>
      <vt:lpstr>311-41</vt:lpstr>
      <vt:lpstr>312-41</vt:lpstr>
      <vt:lpstr>313-41</vt:lpstr>
      <vt:lpstr>411-41</vt:lpstr>
      <vt:lpstr>'112-41'!Print_Area</vt:lpstr>
      <vt:lpstr>'115-47'!Print_Area</vt:lpstr>
      <vt:lpstr>'213-47'!Print_Area</vt:lpstr>
      <vt:lpstr>'214-47 '!Print_Area</vt:lpstr>
      <vt:lpstr>'215-47'!Print_Area</vt:lpstr>
      <vt:lpstr>'311-41'!Print_Area</vt:lpstr>
      <vt:lpstr>'312-41'!Print_Area</vt:lpstr>
      <vt:lpstr>'313-41'!Print_Area</vt:lpstr>
      <vt:lpstr>'411-41'!Print_Area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Mohammad Ashraful</dc:creator>
  <cp:lastModifiedBy>Sheikh Mohammad Ashraful</cp:lastModifiedBy>
  <cp:lastPrinted>2026-06-05T01:28:06Z</cp:lastPrinted>
  <dcterms:created xsi:type="dcterms:W3CDTF">2026-01-08T11:23:12Z</dcterms:created>
  <dcterms:modified xsi:type="dcterms:W3CDTF">2026-06-05T03:20:16Z</dcterms:modified>
</cp:coreProperties>
</file>