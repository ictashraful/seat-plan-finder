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X:\Control Room NPI\MID TERM JUNE-2026\SEAT PLAN MID TERM JUNE-2026\Seat Planning Python\"/>
    </mc:Choice>
  </mc:AlternateContent>
  <xr:revisionPtr revIDLastSave="0" documentId="13_ncr:1_{5DCACC85-2E5E-47FD-A218-47C768D9C3E0}" xr6:coauthVersionLast="47" xr6:coauthVersionMax="47" xr10:uidLastSave="{00000000-0000-0000-0000-000000000000}"/>
  <bookViews>
    <workbookView xWindow="-120" yWindow="-120" windowWidth="20730" windowHeight="11160" activeTab="6" xr2:uid="{668686C8-A2A0-4977-A14D-C803AB3F7302}"/>
  </bookViews>
  <sheets>
    <sheet name="115-47" sheetId="5" r:id="rId1"/>
    <sheet name="213-47" sheetId="7" r:id="rId2"/>
    <sheet name="214-47 " sheetId="8" r:id="rId3"/>
    <sheet name="215-47" sheetId="9" r:id="rId4"/>
    <sheet name="212-41" sheetId="6" r:id="rId5"/>
    <sheet name="311-41" sheetId="10" r:id="rId6"/>
    <sheet name="312-41" sheetId="11" r:id="rId7"/>
  </sheets>
  <definedNames>
    <definedName name="_xlnm.Print_Area" localSheetId="0">'115-47'!$A$1:$G$10</definedName>
    <definedName name="_xlnm.Print_Area" localSheetId="4">'212-41'!$A$1:$G$9</definedName>
    <definedName name="_xlnm.Print_Area" localSheetId="1">'213-47'!$A$1:$G$10</definedName>
    <definedName name="_xlnm.Print_Area" localSheetId="2">'214-47 '!$A$1:$G$10</definedName>
    <definedName name="_xlnm.Print_Area" localSheetId="3">'215-47'!$A$1:$G$10</definedName>
    <definedName name="_xlnm.Print_Area" localSheetId="5">'311-41'!$A$1:$G$9</definedName>
    <definedName name="_xlnm.Print_Area" localSheetId="6">'312-41'!$A$1:$G$9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0" i="11" l="1"/>
  <c r="K10" i="11"/>
  <c r="K11" i="11" s="1"/>
  <c r="F1" i="11" s="1"/>
  <c r="N10" i="10"/>
  <c r="K10" i="10"/>
  <c r="K11" i="10" s="1"/>
  <c r="F1" i="10" s="1"/>
  <c r="N10" i="6"/>
  <c r="K10" i="6"/>
  <c r="K11" i="6" s="1"/>
  <c r="F1" i="6" s="1"/>
  <c r="N11" i="9"/>
  <c r="K11" i="9"/>
  <c r="K12" i="9" s="1"/>
  <c r="F1" i="9" s="1"/>
  <c r="K12" i="8"/>
  <c r="N11" i="8"/>
  <c r="K11" i="8"/>
  <c r="N11" i="7"/>
  <c r="K11" i="7"/>
  <c r="K12" i="7" s="1"/>
  <c r="N11" i="5"/>
  <c r="K11" i="5"/>
  <c r="K12" i="5" s="1"/>
  <c r="F1" i="5" s="1"/>
  <c r="C1" i="11"/>
  <c r="C1" i="10"/>
  <c r="C1" i="6"/>
  <c r="C1" i="9"/>
  <c r="C1" i="8"/>
  <c r="C1" i="7"/>
  <c r="C1" i="5"/>
  <c r="F1" i="8" l="1"/>
  <c r="F1" i="7"/>
</calcChain>
</file>

<file path=xl/sharedStrings.xml><?xml version="1.0" encoding="utf-8"?>
<sst xmlns="http://schemas.openxmlformats.org/spreadsheetml/2006/main" count="420" uniqueCount="313">
  <si>
    <t>SL</t>
  </si>
  <si>
    <t xml:space="preserve">ROOM </t>
  </si>
  <si>
    <t>DOOR</t>
  </si>
  <si>
    <t>TOTAL STUDENTS</t>
  </si>
  <si>
    <t>TECH</t>
  </si>
  <si>
    <t>7CT</t>
  </si>
  <si>
    <t>7CST</t>
  </si>
  <si>
    <t>TOTAL</t>
  </si>
  <si>
    <t>G.total</t>
  </si>
  <si>
    <t>ROOM NO</t>
  </si>
  <si>
    <t>7ET</t>
  </si>
  <si>
    <t>INSTITUTE</t>
  </si>
  <si>
    <t>NPI</t>
  </si>
  <si>
    <t>7FT</t>
  </si>
  <si>
    <t>7RAC</t>
  </si>
  <si>
    <t>765554</t>
  </si>
  <si>
    <t>765637</t>
  </si>
  <si>
    <t>765757</t>
  </si>
  <si>
    <t>766215</t>
  </si>
  <si>
    <t>766234</t>
  </si>
  <si>
    <t>7CST
766235</t>
  </si>
  <si>
    <t>7CT
765511</t>
  </si>
  <si>
    <t>7CST
766253</t>
  </si>
  <si>
    <t>7CT
765545</t>
  </si>
  <si>
    <t>7CST
766267</t>
  </si>
  <si>
    <t>7CT
665833</t>
  </si>
  <si>
    <t>7CST
766237</t>
  </si>
  <si>
    <t>7CT
765512</t>
  </si>
  <si>
    <t>7CST
766255</t>
  </si>
  <si>
    <t>7CT
765552</t>
  </si>
  <si>
    <t>7CST
766271</t>
  </si>
  <si>
    <t>7CT
666130</t>
  </si>
  <si>
    <t>7CST
766238</t>
  </si>
  <si>
    <t>7CT
765513</t>
  </si>
  <si>
    <t>7CST
766256</t>
  </si>
  <si>
    <t>7CT
765557</t>
  </si>
  <si>
    <t>7CST
766273</t>
  </si>
  <si>
    <t>7CT
689907</t>
  </si>
  <si>
    <t>7CST
766239</t>
  </si>
  <si>
    <t>7CT
765520</t>
  </si>
  <si>
    <t>7CST
766258</t>
  </si>
  <si>
    <t>7CT
765558</t>
  </si>
  <si>
    <t>7CST
766279</t>
  </si>
  <si>
    <t>7CT
735399</t>
  </si>
  <si>
    <t>7CST
766243</t>
  </si>
  <si>
    <t>7CT
765522</t>
  </si>
  <si>
    <t>7CST
766259</t>
  </si>
  <si>
    <t>7CT
765559</t>
  </si>
  <si>
    <t>7CST
766280</t>
  </si>
  <si>
    <t>7CT
765502</t>
  </si>
  <si>
    <t>7CST
766244</t>
  </si>
  <si>
    <t>7CT
765534</t>
  </si>
  <si>
    <t>7CST
766260</t>
  </si>
  <si>
    <t>7CT
765560</t>
  </si>
  <si>
    <t>7CST
766285</t>
  </si>
  <si>
    <t>7CT
765506</t>
  </si>
  <si>
    <t>7CST
766249</t>
  </si>
  <si>
    <t>7CT
765536</t>
  </si>
  <si>
    <t>7CST
766263</t>
  </si>
  <si>
    <t>7CT
765561</t>
  </si>
  <si>
    <t>7CST
766290</t>
  </si>
  <si>
    <t>7CT
765508</t>
  </si>
  <si>
    <t>7CST
766252</t>
  </si>
  <si>
    <t>7CT
765539</t>
  </si>
  <si>
    <t>7CST
766264</t>
  </si>
  <si>
    <t>7CT
765562</t>
  </si>
  <si>
    <t>7CST
766293</t>
  </si>
  <si>
    <t>7CST
766295</t>
  </si>
  <si>
    <t>7CT
765588</t>
  </si>
  <si>
    <t>7CST
766331</t>
  </si>
  <si>
    <t>7CT
765612</t>
  </si>
  <si>
    <t>7CST
766344</t>
  </si>
  <si>
    <t>7CT
765564</t>
  </si>
  <si>
    <t>7CST
766299</t>
  </si>
  <si>
    <t>7CT
765591</t>
  </si>
  <si>
    <t>7CST
766332</t>
  </si>
  <si>
    <t>7CT
765613</t>
  </si>
  <si>
    <t>7CST
766346</t>
  </si>
  <si>
    <t>7CT
765565</t>
  </si>
  <si>
    <t>7CST
766308</t>
  </si>
  <si>
    <t>7CT
765592</t>
  </si>
  <si>
    <t>7CST
766334</t>
  </si>
  <si>
    <t>7CT
765614</t>
  </si>
  <si>
    <t>7CST
774486</t>
  </si>
  <si>
    <t>7CT
765566</t>
  </si>
  <si>
    <t>7CST
766311</t>
  </si>
  <si>
    <t>7CT
765594</t>
  </si>
  <si>
    <t>7CST
766336</t>
  </si>
  <si>
    <t>7CT
765618</t>
  </si>
  <si>
    <t>7CST
777287</t>
  </si>
  <si>
    <t>7CT
765571</t>
  </si>
  <si>
    <t>7CST
766320</t>
  </si>
  <si>
    <t>7CT
765601</t>
  </si>
  <si>
    <t>7CST
766337</t>
  </si>
  <si>
    <t>7CT
765619</t>
  </si>
  <si>
    <t>7CST
778567</t>
  </si>
  <si>
    <t>7CT
765573</t>
  </si>
  <si>
    <t>7CST
766326</t>
  </si>
  <si>
    <t>7CT
765606</t>
  </si>
  <si>
    <t>7CST
766338</t>
  </si>
  <si>
    <t>7CT
765620</t>
  </si>
  <si>
    <t>7CST
778577</t>
  </si>
  <si>
    <t>7CT
765579</t>
  </si>
  <si>
    <t>7CST
766327</t>
  </si>
  <si>
    <t>7CT
765607</t>
  </si>
  <si>
    <t>7CST
766339</t>
  </si>
  <si>
    <t>7CT
765621</t>
  </si>
  <si>
    <t>7CST
794027</t>
  </si>
  <si>
    <t>7CT
765586</t>
  </si>
  <si>
    <t>7CST
766330</t>
  </si>
  <si>
    <t>7CT
765610</t>
  </si>
  <si>
    <t>7CST
766343</t>
  </si>
  <si>
    <t>7CT
765622</t>
  </si>
  <si>
    <t>7CST
794030</t>
  </si>
  <si>
    <t>7CST
794033</t>
  </si>
  <si>
    <t>7CT
765638</t>
  </si>
  <si>
    <t>7CST
795342</t>
  </si>
  <si>
    <t>7CT
765664</t>
  </si>
  <si>
    <t>7ET
688918</t>
  </si>
  <si>
    <t>7CT
765624</t>
  </si>
  <si>
    <t>7CST
794034</t>
  </si>
  <si>
    <t>7CT
765639</t>
  </si>
  <si>
    <t xml:space="preserve">7CST
</t>
  </si>
  <si>
    <t>7CT
765668</t>
  </si>
  <si>
    <t>7ET
744895</t>
  </si>
  <si>
    <t>7CT
765626</t>
  </si>
  <si>
    <t>7CST
794035</t>
  </si>
  <si>
    <t>7CT
765643</t>
  </si>
  <si>
    <t>7CT
765678</t>
  </si>
  <si>
    <t>7ET
744947</t>
  </si>
  <si>
    <t>7CT
765627</t>
  </si>
  <si>
    <t>7CST
794038</t>
  </si>
  <si>
    <t>7CT
765650</t>
  </si>
  <si>
    <t>7CT
765681</t>
  </si>
  <si>
    <t>7ET
744951</t>
  </si>
  <si>
    <t>7CT
765628</t>
  </si>
  <si>
    <t>7CST
794039</t>
  </si>
  <si>
    <t>7CT
765653</t>
  </si>
  <si>
    <t>7CT
765686</t>
  </si>
  <si>
    <t>7ET
750378</t>
  </si>
  <si>
    <t>7CT
765629</t>
  </si>
  <si>
    <t>7CST
794041</t>
  </si>
  <si>
    <t>7CT
765657</t>
  </si>
  <si>
    <t>7CT
765687</t>
  </si>
  <si>
    <t>7ET
750466</t>
  </si>
  <si>
    <t>7CT
765635</t>
  </si>
  <si>
    <t>7CST
795340</t>
  </si>
  <si>
    <t>7CT
765661</t>
  </si>
  <si>
    <t>7CT
765688</t>
  </si>
  <si>
    <t>7ET
765827</t>
  </si>
  <si>
    <t>7CT
765636</t>
  </si>
  <si>
    <t>7CST
795341</t>
  </si>
  <si>
    <t>7CT
765663</t>
  </si>
  <si>
    <t>7CT
765696</t>
  </si>
  <si>
    <t>7ET
765828</t>
  </si>
  <si>
    <t>7ET
765830</t>
  </si>
  <si>
    <t>7CT
765730</t>
  </si>
  <si>
    <t>7ET
765885</t>
  </si>
  <si>
    <t>7CT
765758</t>
  </si>
  <si>
    <t>7ET
765908</t>
  </si>
  <si>
    <t>7CT
765702</t>
  </si>
  <si>
    <t>7ET
765841</t>
  </si>
  <si>
    <t>7CT
765732</t>
  </si>
  <si>
    <t>7ET
765888</t>
  </si>
  <si>
    <t>7CT
765764</t>
  </si>
  <si>
    <t>7ET
765909</t>
  </si>
  <si>
    <t>7CT
765704</t>
  </si>
  <si>
    <t>7ET
765843</t>
  </si>
  <si>
    <t>7CT
765738</t>
  </si>
  <si>
    <t>7ET
765889</t>
  </si>
  <si>
    <t>7CT
765767</t>
  </si>
  <si>
    <t>7ET
765916</t>
  </si>
  <si>
    <t>7CT
765706</t>
  </si>
  <si>
    <t>7ET
765866</t>
  </si>
  <si>
    <t>7CT
765741</t>
  </si>
  <si>
    <t>7ET
765892</t>
  </si>
  <si>
    <t>7CT
765777</t>
  </si>
  <si>
    <t>7ET
765921</t>
  </si>
  <si>
    <t>7CT
765715</t>
  </si>
  <si>
    <t>7ET
765867</t>
  </si>
  <si>
    <t>7CT
765743</t>
  </si>
  <si>
    <t>7ET
765894</t>
  </si>
  <si>
    <t>7CT
765778</t>
  </si>
  <si>
    <t>7ET
765923</t>
  </si>
  <si>
    <t>7CT
765722</t>
  </si>
  <si>
    <t>7ET
765868</t>
  </si>
  <si>
    <t>7CT
765748</t>
  </si>
  <si>
    <t>7ET
765903</t>
  </si>
  <si>
    <t>7CT
765779</t>
  </si>
  <si>
    <t>7ET
765928</t>
  </si>
  <si>
    <t>7CT
765724</t>
  </si>
  <si>
    <t>7ET
765869</t>
  </si>
  <si>
    <t>7CT
765750</t>
  </si>
  <si>
    <t>7ET
765904</t>
  </si>
  <si>
    <t>7CT
765780</t>
  </si>
  <si>
    <t>7ET
765929</t>
  </si>
  <si>
    <t>7CT
765729</t>
  </si>
  <si>
    <t>7ET
765870</t>
  </si>
  <si>
    <t>7CT
765752</t>
  </si>
  <si>
    <t>7ET
765905</t>
  </si>
  <si>
    <t>7CT
765782</t>
  </si>
  <si>
    <t>7ET
765930</t>
  </si>
  <si>
    <t>7ET
765934</t>
  </si>
  <si>
    <t>7CT
765801</t>
  </si>
  <si>
    <t>7ET
766014</t>
  </si>
  <si>
    <t>7CT
785405</t>
  </si>
  <si>
    <t>7ET
766022</t>
  </si>
  <si>
    <t>7CT
765783</t>
  </si>
  <si>
    <t>7ET
765944</t>
  </si>
  <si>
    <t>7CT
765808</t>
  </si>
  <si>
    <t>7ET
766015</t>
  </si>
  <si>
    <t>7CT
791323</t>
  </si>
  <si>
    <t>7ET
794011</t>
  </si>
  <si>
    <t>7CT
765784</t>
  </si>
  <si>
    <t>7ET
765960</t>
  </si>
  <si>
    <t>7CT
765809</t>
  </si>
  <si>
    <t>7ET
766016</t>
  </si>
  <si>
    <t>7CT
793994</t>
  </si>
  <si>
    <t>7ET
794012</t>
  </si>
  <si>
    <t>7CT
765787</t>
  </si>
  <si>
    <t>7ET
765979</t>
  </si>
  <si>
    <t>7CT
765812</t>
  </si>
  <si>
    <t>7ET
766017</t>
  </si>
  <si>
    <t>7CT
793995</t>
  </si>
  <si>
    <t>7ET
794014</t>
  </si>
  <si>
    <t>7CT
765788</t>
  </si>
  <si>
    <t>7ET
765983</t>
  </si>
  <si>
    <t>7CT
765816</t>
  </si>
  <si>
    <t>7ET
766018</t>
  </si>
  <si>
    <t>7CT
794004</t>
  </si>
  <si>
    <t>7ET
794019</t>
  </si>
  <si>
    <t>7CT
765791</t>
  </si>
  <si>
    <t>7ET
765987</t>
  </si>
  <si>
    <t>7CT
777678</t>
  </si>
  <si>
    <t>7ET
766019</t>
  </si>
  <si>
    <t>7CT
794005</t>
  </si>
  <si>
    <t>7ET
794022</t>
  </si>
  <si>
    <t>7CT
765796</t>
  </si>
  <si>
    <t>7ET
765997</t>
  </si>
  <si>
    <t>7CT
779124</t>
  </si>
  <si>
    <t>7ET
766021</t>
  </si>
  <si>
    <t>7CT
794007</t>
  </si>
  <si>
    <t>7ET
794023</t>
  </si>
  <si>
    <t>7CT
794008</t>
  </si>
  <si>
    <t>7ET
795334</t>
  </si>
  <si>
    <t>7FT
731879</t>
  </si>
  <si>
    <t>7RAC
666258</t>
  </si>
  <si>
    <t>7FT
766054</t>
  </si>
  <si>
    <t>7ET
794024</t>
  </si>
  <si>
    <t>7CT
794741</t>
  </si>
  <si>
    <t>7ET
795337</t>
  </si>
  <si>
    <t>7FT
766033</t>
  </si>
  <si>
    <t>7RAC
666268</t>
  </si>
  <si>
    <t>7FT
766059</t>
  </si>
  <si>
    <t>7ET
795329</t>
  </si>
  <si>
    <t>7CT
765554</t>
  </si>
  <si>
    <t>7ET
795338</t>
  </si>
  <si>
    <t>7FT
766034</t>
  </si>
  <si>
    <t>7RAC
766149</t>
  </si>
  <si>
    <t>7FT
766061</t>
  </si>
  <si>
    <t>7ET
795330</t>
  </si>
  <si>
    <t>7CT
765637</t>
  </si>
  <si>
    <t>7ET
795336</t>
  </si>
  <si>
    <t>7FT
766035</t>
  </si>
  <si>
    <t>7RAC
766168</t>
  </si>
  <si>
    <t>7FT
766062</t>
  </si>
  <si>
    <t>7ET
795331</t>
  </si>
  <si>
    <t>7CT
765757</t>
  </si>
  <si>
    <t xml:space="preserve">7ET
</t>
  </si>
  <si>
    <t>7FT
766051</t>
  </si>
  <si>
    <t>7RAC
766170</t>
  </si>
  <si>
    <t>7FT
766063</t>
  </si>
  <si>
    <t>7ET
795332</t>
  </si>
  <si>
    <t xml:space="preserve">7CT
</t>
  </si>
  <si>
    <t>7FT
766052</t>
  </si>
  <si>
    <t>7RAC
766171</t>
  </si>
  <si>
    <t>7FT
766065</t>
  </si>
  <si>
    <t>7ET
795333</t>
  </si>
  <si>
    <t>7FT
766053</t>
  </si>
  <si>
    <t>7RAC
766172</t>
  </si>
  <si>
    <t>7FT
766085</t>
  </si>
  <si>
    <t>7FT
766086</t>
  </si>
  <si>
    <t>7RAC
791043</t>
  </si>
  <si>
    <t>7FT
766121</t>
  </si>
  <si>
    <t xml:space="preserve">7RAC
</t>
  </si>
  <si>
    <t>7FT
774122</t>
  </si>
  <si>
    <t>7RAC
766173</t>
  </si>
  <si>
    <t>7FT
766102</t>
  </si>
  <si>
    <t>7RAC
666249</t>
  </si>
  <si>
    <t>7FT
766126</t>
  </si>
  <si>
    <t>7FT
774142</t>
  </si>
  <si>
    <t>7RAC
766205</t>
  </si>
  <si>
    <t>7FT
766108</t>
  </si>
  <si>
    <t>7RAC
766215</t>
  </si>
  <si>
    <t>7FT
766130</t>
  </si>
  <si>
    <t>7FT
774147</t>
  </si>
  <si>
    <t>7RAC
766206</t>
  </si>
  <si>
    <t>7FT
766111</t>
  </si>
  <si>
    <t>7RAC
766234</t>
  </si>
  <si>
    <t>7FT
766132</t>
  </si>
  <si>
    <t>7FT
774148</t>
  </si>
  <si>
    <t>7RAC
766218</t>
  </si>
  <si>
    <t>7FT
766113</t>
  </si>
  <si>
    <t>7FT
774079</t>
  </si>
  <si>
    <t>7FT
777015</t>
  </si>
  <si>
    <t>7RAC
774263</t>
  </si>
  <si>
    <t>7FT
766115</t>
  </si>
  <si>
    <t>7FT
774080</t>
  </si>
  <si>
    <t>7FT
777071</t>
  </si>
  <si>
    <t>7RAC
778363</t>
  </si>
  <si>
    <t>7FT
766116</t>
  </si>
  <si>
    <t>7FT
774082</t>
  </si>
  <si>
    <t>7FT
777072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</si>
</sst>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2"/>
      <color rgb="FFFF0000"/>
      <name val="Times New Roman"/>
      <family val="1"/>
    </font>
    <font>
      <b/>
      <sz val="14"/>
      <color theme="1"/>
      <name val="Calibri"/>
      <family val="2"/>
      <scheme val="minor"/>
    </font>
    <font>
      <b/>
      <sz val="10"/>
      <name val="Times New Roman"/>
      <family val="1"/>
    </font>
    <font>
      <b/>
      <sz val="18"/>
      <color theme="1"/>
      <name val="Calibri"/>
      <family val="2"/>
      <scheme val="minor"/>
    </font>
    <font>
      <b/>
      <sz val="12"/>
      <color rgb="FF002060"/>
      <name val="Times New Roman"/>
      <family val="1"/>
    </font>
    <font>
      <sz val="12"/>
      <color indexed="8"/>
      <name val="Calibri"/>
      <family val="2"/>
      <scheme val="minor"/>
    </font>
    <font>
      <sz val="12"/>
      <color indexed="8"/>
      <name val="Times New Roman"/>
      <family val="1"/>
    </font>
    <font>
      <sz val="12"/>
      <color rgb="FF444444"/>
      <name val="Times New Roman"/>
      <family val="1"/>
    </font>
    <font>
      <sz val="12"/>
      <color theme="1"/>
      <name val="Times New Roman"/>
      <family val="1"/>
    </font>
    <font>
      <sz val="12"/>
      <name val="Calibri"/>
      <family val="2"/>
      <scheme val="minor"/>
    </font>
    <font>
      <sz val="12"/>
      <color rgb="FF444444"/>
      <name val="Verdana"/>
      <family val="2"/>
    </font>
    <font>
      <sz val="12"/>
      <color theme="1"/>
      <name val="Calibri"/>
      <family val="2"/>
      <scheme val="minor"/>
    </font>
    <font>
      <sz val="12"/>
      <color rgb="FF002060"/>
      <name val="Times New Roman"/>
      <family val="1"/>
    </font>
    <font>
      <sz val="10"/>
      <color indexed="8"/>
      <name val="Nikosh"/>
    </font>
    <font>
      <sz val="10"/>
      <color theme="1"/>
      <name val="Nikosh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3" borderId="2" xfId="0" applyFill="1" applyBorder="1"/>
    <xf numFmtId="0" fontId="0" fillId="0" borderId="2" xfId="0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0" fillId="3" borderId="1" xfId="0" applyFill="1" applyBorder="1"/>
    <xf numFmtId="0" fontId="0" fillId="0" borderId="1" xfId="0" applyBorder="1"/>
    <xf numFmtId="0" fontId="14" fillId="0" borderId="1" xfId="0" applyFont="1" applyBorder="1" applyAlignment="1">
      <alignment horizontal="center" vertical="center" wrapText="1"/>
    </xf>
    <xf numFmtId="2" fontId="15" fillId="2" borderId="1" xfId="0" applyNumberFormat="1" applyFont="1" applyFill="1" applyBorder="1" applyAlignment="1">
      <alignment horizontal="center" vertical="center" wrapText="1"/>
    </xf>
    <xf numFmtId="1" fontId="15" fillId="2" borderId="1" xfId="0" applyNumberFormat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5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7F7A1-138D-47A8-87B4-510FE3AF8149}">
  <dimension ref="A1:P15"/>
  <sheetViews>
    <sheetView zoomScale="55" zoomScaleNormal="55" workbookViewId="0">
      <selection activeCell="B3" sqref="B3:G10"/>
    </sheetView>
  </sheetViews>
  <sheetFormatPr defaultRowHeight="15" x14ac:dyDescent="0.25"/>
  <cols>
    <col min="1" max="1" width="2.7109375" bestFit="1" customWidth="1"/>
    <col min="2" max="7" width="14.7109375" customWidth="1"/>
    <col min="10" max="15" width="8.85546875" style="2"/>
  </cols>
  <sheetData>
    <row r="1" spans="1:16" ht="32.450000000000003" customHeight="1" x14ac:dyDescent="0.25">
      <c r="A1" s="35" t="s">
        <v>1</v>
      </c>
      <c r="B1" s="36"/>
      <c r="C1" s="3">
        <f>K13</f>
        <v>115</v>
      </c>
      <c r="D1" s="35" t="s">
        <v>3</v>
      </c>
      <c r="E1" s="36"/>
      <c r="F1" s="35">
        <f>K12</f>
        <v>47</v>
      </c>
      <c r="G1" s="36"/>
    </row>
    <row r="2" spans="1:16" ht="15.75" x14ac:dyDescent="0.25">
      <c r="A2" s="2" t="s">
        <v>0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J2" s="10" t="s">
        <v>4</v>
      </c>
      <c r="K2" s="11" t="s">
        <v>5</v>
      </c>
      <c r="L2" s="14" t="s">
        <v>6</v>
      </c>
      <c r="M2" s="11" t="s">
        <v>5</v>
      </c>
      <c r="N2" s="14" t="s">
        <v>6</v>
      </c>
      <c r="O2" s="11" t="s">
        <v>5</v>
      </c>
      <c r="P2" s="14" t="s">
        <v>6</v>
      </c>
    </row>
    <row r="3" spans="1:16" ht="79.900000000000006" customHeight="1" x14ac:dyDescent="0.25">
      <c r="A3" s="2">
        <v>1</v>
      </c>
      <c r="B3" s="6" t="s">
        <v>2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J3" s="10">
        <v>1</v>
      </c>
      <c r="K3" s="7"/>
      <c r="L3" s="15">
        <v>766235</v>
      </c>
      <c r="M3" s="16">
        <v>765511</v>
      </c>
      <c r="N3" s="15">
        <v>766253</v>
      </c>
      <c r="O3" s="16">
        <v>765545</v>
      </c>
      <c r="P3" s="15">
        <v>766267</v>
      </c>
    </row>
    <row r="4" spans="1:16" ht="79.900000000000006" customHeight="1" x14ac:dyDescent="0.25">
      <c r="A4" s="2">
        <v>2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J4" s="10">
        <v>2</v>
      </c>
      <c r="K4" s="17">
        <v>665833</v>
      </c>
      <c r="L4" s="15">
        <v>766237</v>
      </c>
      <c r="M4" s="16">
        <v>765512</v>
      </c>
      <c r="N4" s="15">
        <v>766255</v>
      </c>
      <c r="O4" s="16">
        <v>765552</v>
      </c>
      <c r="P4" s="15">
        <v>766271</v>
      </c>
    </row>
    <row r="5" spans="1:16" ht="79.900000000000006" customHeight="1" x14ac:dyDescent="0.25">
      <c r="A5" s="2">
        <v>3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1" t="s">
        <v>36</v>
      </c>
      <c r="J5" s="10">
        <v>3</v>
      </c>
      <c r="K5" s="17">
        <v>666130</v>
      </c>
      <c r="L5" s="15">
        <v>766238</v>
      </c>
      <c r="M5" s="16">
        <v>765513</v>
      </c>
      <c r="N5" s="15">
        <v>766256</v>
      </c>
      <c r="O5" s="16">
        <v>765557</v>
      </c>
      <c r="P5" s="15">
        <v>766273</v>
      </c>
    </row>
    <row r="6" spans="1:16" ht="79.900000000000006" customHeight="1" x14ac:dyDescent="0.25">
      <c r="A6" s="2">
        <v>4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42</v>
      </c>
      <c r="J6" s="10">
        <v>4</v>
      </c>
      <c r="K6" s="18">
        <v>689907</v>
      </c>
      <c r="L6" s="15">
        <v>766239</v>
      </c>
      <c r="M6" s="16">
        <v>765520</v>
      </c>
      <c r="N6" s="15">
        <v>766258</v>
      </c>
      <c r="O6" s="16">
        <v>765558</v>
      </c>
      <c r="P6" s="15">
        <v>766279</v>
      </c>
    </row>
    <row r="7" spans="1:16" ht="79.900000000000006" customHeight="1" x14ac:dyDescent="0.25">
      <c r="A7" s="2">
        <v>5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47</v>
      </c>
      <c r="G7" s="1" t="s">
        <v>48</v>
      </c>
      <c r="J7" s="10">
        <v>5</v>
      </c>
      <c r="K7" s="18">
        <v>735399</v>
      </c>
      <c r="L7" s="15">
        <v>766243</v>
      </c>
      <c r="M7" s="16">
        <v>765522</v>
      </c>
      <c r="N7" s="15">
        <v>766259</v>
      </c>
      <c r="O7" s="16">
        <v>765559</v>
      </c>
      <c r="P7" s="15">
        <v>766280</v>
      </c>
    </row>
    <row r="8" spans="1:16" ht="79.900000000000006" customHeight="1" x14ac:dyDescent="0.25">
      <c r="A8" s="2">
        <v>6</v>
      </c>
      <c r="B8" s="1" t="s">
        <v>49</v>
      </c>
      <c r="C8" s="1" t="s">
        <v>50</v>
      </c>
      <c r="D8" s="1" t="s">
        <v>51</v>
      </c>
      <c r="E8" s="1" t="s">
        <v>52</v>
      </c>
      <c r="F8" s="1" t="s">
        <v>53</v>
      </c>
      <c r="G8" s="1" t="s">
        <v>54</v>
      </c>
      <c r="J8" s="10">
        <v>6</v>
      </c>
      <c r="K8" s="16">
        <v>765502</v>
      </c>
      <c r="L8" s="15">
        <v>766244</v>
      </c>
      <c r="M8" s="16">
        <v>765534</v>
      </c>
      <c r="N8" s="15">
        <v>766260</v>
      </c>
      <c r="O8" s="16">
        <v>765560</v>
      </c>
      <c r="P8" s="15">
        <v>766285</v>
      </c>
    </row>
    <row r="9" spans="1:16" ht="79.900000000000006" customHeight="1" x14ac:dyDescent="0.25">
      <c r="A9" s="2">
        <v>7</v>
      </c>
      <c r="B9" s="1" t="s">
        <v>55</v>
      </c>
      <c r="C9" s="1" t="s">
        <v>56</v>
      </c>
      <c r="D9" s="1" t="s">
        <v>57</v>
      </c>
      <c r="E9" s="1" t="s">
        <v>58</v>
      </c>
      <c r="F9" s="1" t="s">
        <v>59</v>
      </c>
      <c r="G9" s="1" t="s">
        <v>60</v>
      </c>
      <c r="J9" s="10">
        <v>7</v>
      </c>
      <c r="K9" s="16">
        <v>765506</v>
      </c>
      <c r="L9" s="15">
        <v>766249</v>
      </c>
      <c r="M9" s="16">
        <v>765536</v>
      </c>
      <c r="N9" s="15">
        <v>766263</v>
      </c>
      <c r="O9" s="16">
        <v>765561</v>
      </c>
      <c r="P9" s="19">
        <v>766290</v>
      </c>
    </row>
    <row r="10" spans="1:16" ht="79.900000000000006" customHeight="1" x14ac:dyDescent="0.25">
      <c r="A10" s="2">
        <v>8</v>
      </c>
      <c r="B10" s="1" t="s">
        <v>61</v>
      </c>
      <c r="C10" s="1" t="s">
        <v>62</v>
      </c>
      <c r="D10" s="1" t="s">
        <v>63</v>
      </c>
      <c r="E10" s="1" t="s">
        <v>64</v>
      </c>
      <c r="F10" s="1" t="s">
        <v>65</v>
      </c>
      <c r="G10" s="1" t="s">
        <v>66</v>
      </c>
      <c r="J10" s="10">
        <v>8</v>
      </c>
      <c r="K10" s="16">
        <v>765508</v>
      </c>
      <c r="L10" s="15">
        <v>766252</v>
      </c>
      <c r="M10" s="16">
        <v>765539</v>
      </c>
      <c r="N10" s="15">
        <v>766264</v>
      </c>
      <c r="O10" s="16">
        <v>765562</v>
      </c>
      <c r="P10" s="20">
        <v>766293</v>
      </c>
    </row>
    <row r="11" spans="1:16" ht="15.75" x14ac:dyDescent="0.25">
      <c r="J11" s="10" t="s">
        <v>7</v>
      </c>
      <c r="K11" s="37">
        <f>COUNTA(K3:M10)</f>
        <v>23</v>
      </c>
      <c r="L11" s="37"/>
      <c r="M11" s="37"/>
      <c r="N11" s="37">
        <f>COUNTA(N3:P10)</f>
        <v>24</v>
      </c>
      <c r="O11" s="37"/>
      <c r="P11" s="37"/>
    </row>
    <row r="12" spans="1:16" ht="14.45" customHeight="1" x14ac:dyDescent="0.25">
      <c r="J12" s="10" t="s">
        <v>8</v>
      </c>
      <c r="K12" s="34">
        <f>K11+N11</f>
        <v>47</v>
      </c>
      <c r="L12" s="34"/>
      <c r="M12" s="34"/>
      <c r="N12" s="34"/>
      <c r="O12" s="34"/>
      <c r="P12" s="34"/>
    </row>
    <row r="13" spans="1:16" ht="22.15" customHeight="1" x14ac:dyDescent="0.25">
      <c r="J13" s="5" t="s">
        <v>9</v>
      </c>
      <c r="K13" s="34">
        <v>115</v>
      </c>
      <c r="L13" s="34"/>
      <c r="M13" s="34"/>
      <c r="N13" s="34"/>
      <c r="O13" s="34"/>
      <c r="P13" s="34"/>
    </row>
    <row r="14" spans="1:16" ht="25.15" customHeight="1" x14ac:dyDescent="0.25"/>
    <row r="15" spans="1:16" ht="25.15" customHeight="1" x14ac:dyDescent="0.25"/>
  </sheetData>
  <mergeCells count="7">
    <mergeCell ref="K13:P13"/>
    <mergeCell ref="F1:G1"/>
    <mergeCell ref="A1:B1"/>
    <mergeCell ref="D1:E1"/>
    <mergeCell ref="K11:M11"/>
    <mergeCell ref="N11:P11"/>
    <mergeCell ref="K12:P12"/>
  </mergeCells>
  <conditionalFormatting sqref="K4:K10">
    <cfRule type="duplicateValues" dxfId="51" priority="7"/>
    <cfRule type="duplicateValues" dxfId="50" priority="8"/>
    <cfRule type="duplicateValues" dxfId="49" priority="9"/>
  </conditionalFormatting>
  <conditionalFormatting sqref="M3:M10">
    <cfRule type="duplicateValues" dxfId="48" priority="4"/>
    <cfRule type="duplicateValues" dxfId="47" priority="5"/>
    <cfRule type="duplicateValues" dxfId="46" priority="6"/>
  </conditionalFormatting>
  <conditionalFormatting sqref="O3:O10">
    <cfRule type="duplicateValues" dxfId="45" priority="1"/>
    <cfRule type="duplicateValues" dxfId="44" priority="2"/>
    <cfRule type="duplicateValues" dxfId="43" priority="3"/>
  </conditionalFormatting>
  <pageMargins left="0.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61D-DF48-4971-8BFB-979D69FA84CF}">
  <dimension ref="A1:P15"/>
  <sheetViews>
    <sheetView zoomScale="70" zoomScaleNormal="70" workbookViewId="0">
      <selection activeCell="B3" sqref="B3:G10"/>
    </sheetView>
  </sheetViews>
  <sheetFormatPr defaultRowHeight="15" x14ac:dyDescent="0.25"/>
  <cols>
    <col min="1" max="1" width="2.7109375" bestFit="1" customWidth="1"/>
    <col min="2" max="7" width="14.7109375" customWidth="1"/>
    <col min="10" max="15" width="8.85546875" style="2"/>
  </cols>
  <sheetData>
    <row r="1" spans="1:16" ht="32.450000000000003" customHeight="1" x14ac:dyDescent="0.25">
      <c r="A1" s="35" t="s">
        <v>1</v>
      </c>
      <c r="B1" s="36"/>
      <c r="C1" s="4">
        <f>K13</f>
        <v>213</v>
      </c>
      <c r="D1" s="35" t="s">
        <v>3</v>
      </c>
      <c r="E1" s="36"/>
      <c r="F1" s="35">
        <f>K12</f>
        <v>47</v>
      </c>
      <c r="G1" s="36"/>
    </row>
    <row r="2" spans="1:16" ht="15.75" x14ac:dyDescent="0.25">
      <c r="A2" s="2" t="s">
        <v>0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J2" s="10" t="s">
        <v>4</v>
      </c>
      <c r="K2" s="11" t="s">
        <v>5</v>
      </c>
      <c r="L2" s="14" t="s">
        <v>6</v>
      </c>
      <c r="M2" s="11" t="s">
        <v>5</v>
      </c>
      <c r="N2" s="14" t="s">
        <v>6</v>
      </c>
      <c r="O2" s="11" t="s">
        <v>5</v>
      </c>
      <c r="P2" s="14" t="s">
        <v>6</v>
      </c>
    </row>
    <row r="3" spans="1:16" ht="79.900000000000006" customHeight="1" x14ac:dyDescent="0.25">
      <c r="A3" s="2">
        <v>1</v>
      </c>
      <c r="B3" s="6" t="s">
        <v>2</v>
      </c>
      <c r="C3" s="1" t="s">
        <v>67</v>
      </c>
      <c r="D3" s="1" t="s">
        <v>68</v>
      </c>
      <c r="E3" s="1" t="s">
        <v>69</v>
      </c>
      <c r="F3" s="1" t="s">
        <v>70</v>
      </c>
      <c r="G3" s="1" t="s">
        <v>71</v>
      </c>
      <c r="J3" s="10">
        <v>1</v>
      </c>
      <c r="K3" s="7"/>
      <c r="L3" s="19">
        <v>766295</v>
      </c>
      <c r="M3" s="16">
        <v>765588</v>
      </c>
      <c r="N3" s="19">
        <v>766331</v>
      </c>
      <c r="O3" s="16">
        <v>765612</v>
      </c>
      <c r="P3" s="19">
        <v>766344</v>
      </c>
    </row>
    <row r="4" spans="1:16" ht="79.900000000000006" customHeight="1" x14ac:dyDescent="0.25">
      <c r="A4" s="2">
        <v>2</v>
      </c>
      <c r="B4" s="1" t="s">
        <v>72</v>
      </c>
      <c r="C4" s="1" t="s">
        <v>73</v>
      </c>
      <c r="D4" s="1" t="s">
        <v>74</v>
      </c>
      <c r="E4" s="1" t="s">
        <v>75</v>
      </c>
      <c r="F4" s="1" t="s">
        <v>76</v>
      </c>
      <c r="G4" s="1" t="s">
        <v>77</v>
      </c>
      <c r="J4" s="10">
        <v>2</v>
      </c>
      <c r="K4" s="16">
        <v>765564</v>
      </c>
      <c r="L4" s="19">
        <v>766299</v>
      </c>
      <c r="M4" s="16">
        <v>765591</v>
      </c>
      <c r="N4" s="19">
        <v>766332</v>
      </c>
      <c r="O4" s="16">
        <v>765613</v>
      </c>
      <c r="P4" s="19">
        <v>766346</v>
      </c>
    </row>
    <row r="5" spans="1:16" ht="79.900000000000006" customHeight="1" x14ac:dyDescent="0.25">
      <c r="A5" s="2">
        <v>3</v>
      </c>
      <c r="B5" s="1" t="s">
        <v>78</v>
      </c>
      <c r="C5" s="1" t="s">
        <v>79</v>
      </c>
      <c r="D5" s="1" t="s">
        <v>80</v>
      </c>
      <c r="E5" s="1" t="s">
        <v>81</v>
      </c>
      <c r="F5" s="1" t="s">
        <v>82</v>
      </c>
      <c r="G5" s="1" t="s">
        <v>83</v>
      </c>
      <c r="J5" s="10">
        <v>3</v>
      </c>
      <c r="K5" s="16">
        <v>765565</v>
      </c>
      <c r="L5" s="19">
        <v>766308</v>
      </c>
      <c r="M5" s="16">
        <v>765592</v>
      </c>
      <c r="N5" s="19">
        <v>766334</v>
      </c>
      <c r="O5" s="16">
        <v>765614</v>
      </c>
      <c r="P5" s="15">
        <v>774486</v>
      </c>
    </row>
    <row r="6" spans="1:16" ht="79.900000000000006" customHeight="1" x14ac:dyDescent="0.25">
      <c r="A6" s="2">
        <v>4</v>
      </c>
      <c r="B6" s="1" t="s">
        <v>84</v>
      </c>
      <c r="C6" s="1" t="s">
        <v>85</v>
      </c>
      <c r="D6" s="1" t="s">
        <v>86</v>
      </c>
      <c r="E6" s="1" t="s">
        <v>87</v>
      </c>
      <c r="F6" s="1" t="s">
        <v>88</v>
      </c>
      <c r="G6" s="1" t="s">
        <v>89</v>
      </c>
      <c r="J6" s="10">
        <v>4</v>
      </c>
      <c r="K6" s="16">
        <v>765566</v>
      </c>
      <c r="L6" s="19">
        <v>766311</v>
      </c>
      <c r="M6" s="16">
        <v>765594</v>
      </c>
      <c r="N6" s="19">
        <v>766336</v>
      </c>
      <c r="O6" s="18">
        <v>765618</v>
      </c>
      <c r="P6" s="15">
        <v>777287</v>
      </c>
    </row>
    <row r="7" spans="1:16" ht="79.900000000000006" customHeight="1" x14ac:dyDescent="0.25">
      <c r="A7" s="2">
        <v>5</v>
      </c>
      <c r="B7" s="1" t="s">
        <v>90</v>
      </c>
      <c r="C7" s="1" t="s">
        <v>91</v>
      </c>
      <c r="D7" s="1" t="s">
        <v>92</v>
      </c>
      <c r="E7" s="1" t="s">
        <v>93</v>
      </c>
      <c r="F7" s="1" t="s">
        <v>94</v>
      </c>
      <c r="G7" s="1" t="s">
        <v>95</v>
      </c>
      <c r="J7" s="10">
        <v>5</v>
      </c>
      <c r="K7" s="16">
        <v>765571</v>
      </c>
      <c r="L7" s="19">
        <v>766320</v>
      </c>
      <c r="M7" s="16">
        <v>765601</v>
      </c>
      <c r="N7" s="19">
        <v>766337</v>
      </c>
      <c r="O7" s="18">
        <v>765619</v>
      </c>
      <c r="P7" s="21">
        <v>778567</v>
      </c>
    </row>
    <row r="8" spans="1:16" ht="79.900000000000006" customHeight="1" x14ac:dyDescent="0.25">
      <c r="A8" s="2">
        <v>6</v>
      </c>
      <c r="B8" s="1" t="s">
        <v>96</v>
      </c>
      <c r="C8" s="1" t="s">
        <v>97</v>
      </c>
      <c r="D8" s="1" t="s">
        <v>98</v>
      </c>
      <c r="E8" s="1" t="s">
        <v>99</v>
      </c>
      <c r="F8" s="1" t="s">
        <v>100</v>
      </c>
      <c r="G8" s="1" t="s">
        <v>101</v>
      </c>
      <c r="J8" s="10">
        <v>6</v>
      </c>
      <c r="K8" s="16">
        <v>765573</v>
      </c>
      <c r="L8" s="19">
        <v>766326</v>
      </c>
      <c r="M8" s="16">
        <v>765606</v>
      </c>
      <c r="N8" s="19">
        <v>766338</v>
      </c>
      <c r="O8" s="18">
        <v>765620</v>
      </c>
      <c r="P8" s="19">
        <v>778577</v>
      </c>
    </row>
    <row r="9" spans="1:16" ht="79.900000000000006" customHeight="1" x14ac:dyDescent="0.25">
      <c r="A9" s="2">
        <v>7</v>
      </c>
      <c r="B9" s="1" t="s">
        <v>102</v>
      </c>
      <c r="C9" s="1" t="s">
        <v>103</v>
      </c>
      <c r="D9" s="1" t="s">
        <v>104</v>
      </c>
      <c r="E9" s="1" t="s">
        <v>105</v>
      </c>
      <c r="F9" s="1" t="s">
        <v>106</v>
      </c>
      <c r="G9" s="1" t="s">
        <v>107</v>
      </c>
      <c r="J9" s="10">
        <v>7</v>
      </c>
      <c r="K9" s="16">
        <v>765579</v>
      </c>
      <c r="L9" s="19">
        <v>766327</v>
      </c>
      <c r="M9" s="16">
        <v>765607</v>
      </c>
      <c r="N9" s="19">
        <v>766339</v>
      </c>
      <c r="O9" s="18">
        <v>765621</v>
      </c>
      <c r="P9" s="15">
        <v>794027</v>
      </c>
    </row>
    <row r="10" spans="1:16" ht="79.900000000000006" customHeight="1" x14ac:dyDescent="0.25">
      <c r="A10" s="2">
        <v>8</v>
      </c>
      <c r="B10" s="1" t="s">
        <v>108</v>
      </c>
      <c r="C10" s="1" t="s">
        <v>109</v>
      </c>
      <c r="D10" s="1" t="s">
        <v>110</v>
      </c>
      <c r="E10" s="1" t="s">
        <v>111</v>
      </c>
      <c r="F10" s="1" t="s">
        <v>112</v>
      </c>
      <c r="G10" s="1" t="s">
        <v>113</v>
      </c>
      <c r="J10" s="10">
        <v>8</v>
      </c>
      <c r="K10" s="16">
        <v>765586</v>
      </c>
      <c r="L10" s="19">
        <v>766330</v>
      </c>
      <c r="M10" s="16">
        <v>765610</v>
      </c>
      <c r="N10" s="19">
        <v>766343</v>
      </c>
      <c r="O10" s="18">
        <v>765622</v>
      </c>
      <c r="P10" s="19">
        <v>794030</v>
      </c>
    </row>
    <row r="11" spans="1:16" ht="15.75" x14ac:dyDescent="0.25">
      <c r="J11" s="10" t="s">
        <v>7</v>
      </c>
      <c r="K11" s="37">
        <f>COUNTA(K3:M10)</f>
        <v>23</v>
      </c>
      <c r="L11" s="37"/>
      <c r="M11" s="37"/>
      <c r="N11" s="37">
        <f>COUNTA(N3:P10)</f>
        <v>24</v>
      </c>
      <c r="O11" s="37"/>
      <c r="P11" s="37"/>
    </row>
    <row r="12" spans="1:16" ht="14.45" customHeight="1" x14ac:dyDescent="0.25">
      <c r="J12" s="10" t="s">
        <v>8</v>
      </c>
      <c r="K12" s="34">
        <f>K11+N11</f>
        <v>47</v>
      </c>
      <c r="L12" s="34"/>
      <c r="M12" s="34"/>
      <c r="N12" s="34"/>
      <c r="O12" s="34"/>
      <c r="P12" s="34"/>
    </row>
    <row r="13" spans="1:16" ht="22.15" customHeight="1" x14ac:dyDescent="0.25">
      <c r="J13" s="5" t="s">
        <v>9</v>
      </c>
      <c r="K13" s="34">
        <v>213</v>
      </c>
      <c r="L13" s="34"/>
      <c r="M13" s="34"/>
      <c r="N13" s="34"/>
      <c r="O13" s="34"/>
      <c r="P13" s="34"/>
    </row>
    <row r="14" spans="1:16" ht="25.15" customHeight="1" x14ac:dyDescent="0.25"/>
    <row r="15" spans="1:16" ht="25.15" customHeight="1" x14ac:dyDescent="0.25"/>
  </sheetData>
  <mergeCells count="7">
    <mergeCell ref="K13:P13"/>
    <mergeCell ref="A1:B1"/>
    <mergeCell ref="F1:G1"/>
    <mergeCell ref="K11:M11"/>
    <mergeCell ref="N11:P11"/>
    <mergeCell ref="K12:P12"/>
    <mergeCell ref="D1:E1"/>
  </mergeCells>
  <conditionalFormatting sqref="K4:K10">
    <cfRule type="duplicateValues" dxfId="42" priority="7"/>
    <cfRule type="duplicateValues" dxfId="41" priority="8"/>
    <cfRule type="duplicateValues" dxfId="40" priority="9"/>
  </conditionalFormatting>
  <conditionalFormatting sqref="M3:M10">
    <cfRule type="duplicateValues" dxfId="39" priority="4"/>
    <cfRule type="duplicateValues" dxfId="38" priority="5"/>
    <cfRule type="duplicateValues" dxfId="37" priority="6"/>
  </conditionalFormatting>
  <conditionalFormatting sqref="O3:O10">
    <cfRule type="duplicateValues" dxfId="36" priority="1"/>
    <cfRule type="duplicateValues" dxfId="35" priority="2"/>
    <cfRule type="duplicateValues" dxfId="34" priority="3"/>
  </conditionalFormatting>
  <pageMargins left="0.25" right="0.25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E2ADF-54C9-41CB-A24F-CF801D6D2A37}">
  <dimension ref="A1:P15"/>
  <sheetViews>
    <sheetView zoomScale="70" zoomScaleNormal="70" workbookViewId="0">
      <selection activeCell="B3" sqref="B3:G10"/>
    </sheetView>
  </sheetViews>
  <sheetFormatPr defaultRowHeight="15" x14ac:dyDescent="0.25"/>
  <cols>
    <col min="1" max="1" width="2.7109375" bestFit="1" customWidth="1"/>
    <col min="2" max="7" width="14.7109375" customWidth="1"/>
    <col min="10" max="15" width="8.85546875" style="2"/>
  </cols>
  <sheetData>
    <row r="1" spans="1:16" ht="32.450000000000003" customHeight="1" x14ac:dyDescent="0.25">
      <c r="A1" s="35" t="s">
        <v>1</v>
      </c>
      <c r="B1" s="36"/>
      <c r="C1" s="4">
        <f>K13</f>
        <v>214</v>
      </c>
      <c r="D1" s="35" t="s">
        <v>3</v>
      </c>
      <c r="E1" s="36"/>
      <c r="F1" s="35">
        <f>K12</f>
        <v>40</v>
      </c>
      <c r="G1" s="36"/>
    </row>
    <row r="2" spans="1:16" ht="15.75" x14ac:dyDescent="0.25">
      <c r="A2" s="2" t="s">
        <v>0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J2" s="10" t="s">
        <v>4</v>
      </c>
      <c r="K2" s="11" t="s">
        <v>5</v>
      </c>
      <c r="L2" s="14" t="s">
        <v>6</v>
      </c>
      <c r="M2" s="11" t="s">
        <v>5</v>
      </c>
      <c r="N2" s="14" t="s">
        <v>6</v>
      </c>
      <c r="O2" s="11" t="s">
        <v>5</v>
      </c>
      <c r="P2" s="14" t="s">
        <v>10</v>
      </c>
    </row>
    <row r="3" spans="1:16" ht="79.900000000000006" customHeight="1" x14ac:dyDescent="0.25">
      <c r="A3" s="2">
        <v>1</v>
      </c>
      <c r="B3" s="6" t="s">
        <v>2</v>
      </c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J3" s="10">
        <v>1</v>
      </c>
      <c r="K3" s="7"/>
      <c r="L3" s="19">
        <v>794033</v>
      </c>
      <c r="M3" s="16">
        <v>765638</v>
      </c>
      <c r="N3" s="22">
        <v>795342</v>
      </c>
      <c r="O3" s="16">
        <v>765664</v>
      </c>
      <c r="P3" s="23">
        <v>688918</v>
      </c>
    </row>
    <row r="4" spans="1:16" ht="79.900000000000006" customHeight="1" x14ac:dyDescent="0.25">
      <c r="A4" s="2">
        <v>2</v>
      </c>
      <c r="B4" s="1" t="s">
        <v>119</v>
      </c>
      <c r="C4" s="1" t="s">
        <v>120</v>
      </c>
      <c r="D4" s="1" t="s">
        <v>121</v>
      </c>
      <c r="E4" s="1" t="s">
        <v>122</v>
      </c>
      <c r="F4" s="1" t="s">
        <v>123</v>
      </c>
      <c r="G4" s="1" t="s">
        <v>124</v>
      </c>
      <c r="J4" s="10">
        <v>2</v>
      </c>
      <c r="K4" s="18">
        <v>765624</v>
      </c>
      <c r="L4" s="15">
        <v>794034</v>
      </c>
      <c r="M4" s="16">
        <v>765639</v>
      </c>
      <c r="N4" s="9"/>
      <c r="O4" s="16">
        <v>765668</v>
      </c>
      <c r="P4" s="19">
        <v>744895</v>
      </c>
    </row>
    <row r="5" spans="1:16" ht="79.900000000000006" customHeight="1" x14ac:dyDescent="0.25">
      <c r="A5" s="2">
        <v>3</v>
      </c>
      <c r="B5" s="1" t="s">
        <v>125</v>
      </c>
      <c r="C5" s="1" t="s">
        <v>126</v>
      </c>
      <c r="D5" s="1" t="s">
        <v>127</v>
      </c>
      <c r="E5" s="1" t="s">
        <v>122</v>
      </c>
      <c r="F5" s="1" t="s">
        <v>128</v>
      </c>
      <c r="G5" s="1" t="s">
        <v>129</v>
      </c>
      <c r="J5" s="10">
        <v>3</v>
      </c>
      <c r="K5" s="16">
        <v>765626</v>
      </c>
      <c r="L5" s="19">
        <v>794035</v>
      </c>
      <c r="M5" s="16">
        <v>765643</v>
      </c>
      <c r="N5" s="8"/>
      <c r="O5" s="16">
        <v>765678</v>
      </c>
      <c r="P5" s="19">
        <v>744947</v>
      </c>
    </row>
    <row r="6" spans="1:16" ht="79.900000000000006" customHeight="1" x14ac:dyDescent="0.25">
      <c r="A6" s="2">
        <v>4</v>
      </c>
      <c r="B6" s="1" t="s">
        <v>130</v>
      </c>
      <c r="C6" s="1" t="s">
        <v>131</v>
      </c>
      <c r="D6" s="1" t="s">
        <v>132</v>
      </c>
      <c r="E6" s="1" t="s">
        <v>122</v>
      </c>
      <c r="F6" s="1" t="s">
        <v>133</v>
      </c>
      <c r="G6" s="1" t="s">
        <v>134</v>
      </c>
      <c r="J6" s="10">
        <v>4</v>
      </c>
      <c r="K6" s="16">
        <v>765627</v>
      </c>
      <c r="L6" s="19">
        <v>794038</v>
      </c>
      <c r="M6" s="16">
        <v>765650</v>
      </c>
      <c r="N6" s="9"/>
      <c r="O6" s="16">
        <v>765681</v>
      </c>
      <c r="P6" s="19">
        <v>744951</v>
      </c>
    </row>
    <row r="7" spans="1:16" ht="79.900000000000006" customHeight="1" x14ac:dyDescent="0.25">
      <c r="A7" s="2">
        <v>5</v>
      </c>
      <c r="B7" s="1" t="s">
        <v>135</v>
      </c>
      <c r="C7" s="1" t="s">
        <v>136</v>
      </c>
      <c r="D7" s="1" t="s">
        <v>137</v>
      </c>
      <c r="E7" s="1" t="s">
        <v>122</v>
      </c>
      <c r="F7" s="1" t="s">
        <v>138</v>
      </c>
      <c r="G7" s="1" t="s">
        <v>139</v>
      </c>
      <c r="J7" s="10">
        <v>5</v>
      </c>
      <c r="K7" s="16">
        <v>765628</v>
      </c>
      <c r="L7" s="15">
        <v>794039</v>
      </c>
      <c r="M7" s="16">
        <v>765653</v>
      </c>
      <c r="N7" s="8"/>
      <c r="O7" s="16">
        <v>765686</v>
      </c>
      <c r="P7" s="24">
        <v>750378</v>
      </c>
    </row>
    <row r="8" spans="1:16" ht="79.900000000000006" customHeight="1" x14ac:dyDescent="0.25">
      <c r="A8" s="2">
        <v>6</v>
      </c>
      <c r="B8" s="1" t="s">
        <v>140</v>
      </c>
      <c r="C8" s="1" t="s">
        <v>141</v>
      </c>
      <c r="D8" s="1" t="s">
        <v>142</v>
      </c>
      <c r="E8" s="1" t="s">
        <v>122</v>
      </c>
      <c r="F8" s="1" t="s">
        <v>143</v>
      </c>
      <c r="G8" s="1" t="s">
        <v>144</v>
      </c>
      <c r="J8" s="10">
        <v>6</v>
      </c>
      <c r="K8" s="16">
        <v>765629</v>
      </c>
      <c r="L8" s="15">
        <v>794041</v>
      </c>
      <c r="M8" s="16">
        <v>765657</v>
      </c>
      <c r="N8" s="9"/>
      <c r="O8" s="16">
        <v>765687</v>
      </c>
      <c r="P8" s="19">
        <v>750466</v>
      </c>
    </row>
    <row r="9" spans="1:16" ht="79.900000000000006" customHeight="1" x14ac:dyDescent="0.25">
      <c r="A9" s="2">
        <v>7</v>
      </c>
      <c r="B9" s="1" t="s">
        <v>145</v>
      </c>
      <c r="C9" s="1" t="s">
        <v>146</v>
      </c>
      <c r="D9" s="1" t="s">
        <v>147</v>
      </c>
      <c r="E9" s="1" t="s">
        <v>122</v>
      </c>
      <c r="F9" s="1" t="s">
        <v>148</v>
      </c>
      <c r="G9" s="1" t="s">
        <v>149</v>
      </c>
      <c r="J9" s="10">
        <v>7</v>
      </c>
      <c r="K9" s="16">
        <v>765635</v>
      </c>
      <c r="L9" s="22">
        <v>795340</v>
      </c>
      <c r="M9" s="16">
        <v>765661</v>
      </c>
      <c r="N9" s="8"/>
      <c r="O9" s="16">
        <v>765688</v>
      </c>
      <c r="P9" s="19">
        <v>765827</v>
      </c>
    </row>
    <row r="10" spans="1:16" ht="79.900000000000006" customHeight="1" x14ac:dyDescent="0.25">
      <c r="A10" s="2">
        <v>8</v>
      </c>
      <c r="B10" s="1" t="s">
        <v>150</v>
      </c>
      <c r="C10" s="1" t="s">
        <v>151</v>
      </c>
      <c r="D10" s="1" t="s">
        <v>152</v>
      </c>
      <c r="E10" s="1" t="s">
        <v>122</v>
      </c>
      <c r="F10" s="1" t="s">
        <v>153</v>
      </c>
      <c r="G10" s="1" t="s">
        <v>154</v>
      </c>
      <c r="J10" s="10">
        <v>8</v>
      </c>
      <c r="K10" s="16">
        <v>765636</v>
      </c>
      <c r="L10" s="22">
        <v>795341</v>
      </c>
      <c r="M10" s="16">
        <v>765663</v>
      </c>
      <c r="N10" s="9"/>
      <c r="O10" s="16">
        <v>765696</v>
      </c>
      <c r="P10" s="19">
        <v>765828</v>
      </c>
    </row>
    <row r="11" spans="1:16" ht="15.75" x14ac:dyDescent="0.25">
      <c r="J11" s="10" t="s">
        <v>7</v>
      </c>
      <c r="K11" s="37">
        <f>COUNTA(K3:M10)</f>
        <v>23</v>
      </c>
      <c r="L11" s="37"/>
      <c r="M11" s="37"/>
      <c r="N11" s="37">
        <f>COUNTA(N3:P10)</f>
        <v>17</v>
      </c>
      <c r="O11" s="37"/>
      <c r="P11" s="37"/>
    </row>
    <row r="12" spans="1:16" ht="14.45" customHeight="1" x14ac:dyDescent="0.25">
      <c r="J12" s="10" t="s">
        <v>8</v>
      </c>
      <c r="K12" s="34">
        <f>K11+N11</f>
        <v>40</v>
      </c>
      <c r="L12" s="34"/>
      <c r="M12" s="34"/>
      <c r="N12" s="34"/>
      <c r="O12" s="34"/>
      <c r="P12" s="34"/>
    </row>
    <row r="13" spans="1:16" ht="22.15" customHeight="1" x14ac:dyDescent="0.25">
      <c r="J13" s="5" t="s">
        <v>9</v>
      </c>
      <c r="K13" s="34">
        <v>214</v>
      </c>
      <c r="L13" s="34"/>
      <c r="M13" s="34"/>
      <c r="N13" s="34"/>
      <c r="O13" s="34"/>
      <c r="P13" s="34"/>
    </row>
    <row r="14" spans="1:16" ht="25.15" customHeight="1" x14ac:dyDescent="0.25"/>
    <row r="15" spans="1:16" ht="25.15" customHeight="1" x14ac:dyDescent="0.25"/>
  </sheetData>
  <mergeCells count="7">
    <mergeCell ref="K13:P13"/>
    <mergeCell ref="A1:B1"/>
    <mergeCell ref="F1:G1"/>
    <mergeCell ref="K11:M11"/>
    <mergeCell ref="N11:P11"/>
    <mergeCell ref="K12:P12"/>
    <mergeCell ref="D1:E1"/>
  </mergeCells>
  <conditionalFormatting sqref="K4:K10">
    <cfRule type="duplicateValues" dxfId="33" priority="10"/>
    <cfRule type="duplicateValues" dxfId="32" priority="11"/>
    <cfRule type="duplicateValues" dxfId="31" priority="12"/>
  </conditionalFormatting>
  <conditionalFormatting sqref="M3:M10">
    <cfRule type="duplicateValues" dxfId="30" priority="7"/>
    <cfRule type="duplicateValues" dxfId="29" priority="8"/>
    <cfRule type="duplicateValues" dxfId="28" priority="9"/>
  </conditionalFormatting>
  <conditionalFormatting sqref="O3:O4">
    <cfRule type="duplicateValues" dxfId="27" priority="4"/>
  </conditionalFormatting>
  <conditionalFormatting sqref="O3:O10">
    <cfRule type="duplicateValues" dxfId="26" priority="6"/>
  </conditionalFormatting>
  <conditionalFormatting sqref="O5:O9">
    <cfRule type="duplicateValues" dxfId="25" priority="3"/>
  </conditionalFormatting>
  <conditionalFormatting sqref="O10 O3:O4">
    <cfRule type="duplicateValues" dxfId="24" priority="5"/>
  </conditionalFormatting>
  <conditionalFormatting sqref="P3:P10">
    <cfRule type="duplicateValues" dxfId="23" priority="1"/>
    <cfRule type="duplicateValues" dxfId="22" priority="2"/>
  </conditionalFormatting>
  <pageMargins left="0.25" right="0.25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EBE63-A4AF-4521-A804-052989847367}">
  <dimension ref="A1:P15"/>
  <sheetViews>
    <sheetView zoomScale="70" zoomScaleNormal="70" workbookViewId="0">
      <selection activeCell="B3" sqref="B3:G10"/>
    </sheetView>
  </sheetViews>
  <sheetFormatPr defaultRowHeight="15" x14ac:dyDescent="0.25"/>
  <cols>
    <col min="1" max="1" width="2.7109375" bestFit="1" customWidth="1"/>
    <col min="2" max="7" width="14.7109375" customWidth="1"/>
    <col min="10" max="15" width="8.85546875" style="2"/>
  </cols>
  <sheetData>
    <row r="1" spans="1:16" ht="32.450000000000003" customHeight="1" x14ac:dyDescent="0.25">
      <c r="A1" s="35" t="s">
        <v>1</v>
      </c>
      <c r="B1" s="36"/>
      <c r="C1" s="4">
        <f>K13</f>
        <v>215</v>
      </c>
      <c r="D1" s="35" t="s">
        <v>3</v>
      </c>
      <c r="E1" s="36"/>
      <c r="F1" s="35">
        <f>K12</f>
        <v>47</v>
      </c>
      <c r="G1" s="36"/>
    </row>
    <row r="2" spans="1:16" ht="15.75" x14ac:dyDescent="0.25">
      <c r="A2" s="2" t="s">
        <v>0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J2" s="10" t="s">
        <v>4</v>
      </c>
      <c r="K2" s="11" t="s">
        <v>5</v>
      </c>
      <c r="L2" s="14" t="s">
        <v>10</v>
      </c>
      <c r="M2" s="11" t="s">
        <v>5</v>
      </c>
      <c r="N2" s="14" t="s">
        <v>10</v>
      </c>
      <c r="O2" s="11" t="s">
        <v>5</v>
      </c>
      <c r="P2" s="14" t="s">
        <v>10</v>
      </c>
    </row>
    <row r="3" spans="1:16" ht="79.900000000000006" customHeight="1" x14ac:dyDescent="0.25">
      <c r="A3" s="2">
        <v>1</v>
      </c>
      <c r="B3" s="6" t="s">
        <v>2</v>
      </c>
      <c r="C3" s="1" t="s">
        <v>155</v>
      </c>
      <c r="D3" s="1" t="s">
        <v>156</v>
      </c>
      <c r="E3" s="1" t="s">
        <v>157</v>
      </c>
      <c r="F3" s="1" t="s">
        <v>158</v>
      </c>
      <c r="G3" s="1" t="s">
        <v>159</v>
      </c>
      <c r="J3" s="10">
        <v>1</v>
      </c>
      <c r="K3" s="7"/>
      <c r="L3" s="19">
        <v>765830</v>
      </c>
      <c r="M3" s="16">
        <v>765730</v>
      </c>
      <c r="N3" s="19">
        <v>765885</v>
      </c>
      <c r="O3" s="16">
        <v>765758</v>
      </c>
      <c r="P3" s="19">
        <v>765908</v>
      </c>
    </row>
    <row r="4" spans="1:16" ht="79.900000000000006" customHeight="1" x14ac:dyDescent="0.25">
      <c r="A4" s="2">
        <v>2</v>
      </c>
      <c r="B4" s="1" t="s">
        <v>160</v>
      </c>
      <c r="C4" s="1" t="s">
        <v>161</v>
      </c>
      <c r="D4" s="1" t="s">
        <v>162</v>
      </c>
      <c r="E4" s="1" t="s">
        <v>163</v>
      </c>
      <c r="F4" s="1" t="s">
        <v>164</v>
      </c>
      <c r="G4" s="1" t="s">
        <v>165</v>
      </c>
      <c r="J4" s="10">
        <v>2</v>
      </c>
      <c r="K4" s="16">
        <v>765702</v>
      </c>
      <c r="L4" s="19">
        <v>765841</v>
      </c>
      <c r="M4" s="16">
        <v>765732</v>
      </c>
      <c r="N4" s="19">
        <v>765888</v>
      </c>
      <c r="O4" s="16">
        <v>765764</v>
      </c>
      <c r="P4" s="19">
        <v>765909</v>
      </c>
    </row>
    <row r="5" spans="1:16" ht="79.900000000000006" customHeight="1" x14ac:dyDescent="0.25">
      <c r="A5" s="2">
        <v>3</v>
      </c>
      <c r="B5" s="1" t="s">
        <v>166</v>
      </c>
      <c r="C5" s="1" t="s">
        <v>167</v>
      </c>
      <c r="D5" s="1" t="s">
        <v>168</v>
      </c>
      <c r="E5" s="1" t="s">
        <v>169</v>
      </c>
      <c r="F5" s="1" t="s">
        <v>170</v>
      </c>
      <c r="G5" s="1" t="s">
        <v>171</v>
      </c>
      <c r="J5" s="10">
        <v>3</v>
      </c>
      <c r="K5" s="16">
        <v>765704</v>
      </c>
      <c r="L5" s="19">
        <v>765843</v>
      </c>
      <c r="M5" s="16">
        <v>765738</v>
      </c>
      <c r="N5" s="19">
        <v>765889</v>
      </c>
      <c r="O5" s="16">
        <v>765767</v>
      </c>
      <c r="P5" s="19">
        <v>765916</v>
      </c>
    </row>
    <row r="6" spans="1:16" ht="79.900000000000006" customHeight="1" x14ac:dyDescent="0.25">
      <c r="A6" s="2">
        <v>4</v>
      </c>
      <c r="B6" s="1" t="s">
        <v>172</v>
      </c>
      <c r="C6" s="1" t="s">
        <v>173</v>
      </c>
      <c r="D6" s="1" t="s">
        <v>174</v>
      </c>
      <c r="E6" s="1" t="s">
        <v>175</v>
      </c>
      <c r="F6" s="1" t="s">
        <v>176</v>
      </c>
      <c r="G6" s="1" t="s">
        <v>177</v>
      </c>
      <c r="J6" s="10">
        <v>4</v>
      </c>
      <c r="K6" s="16">
        <v>765706</v>
      </c>
      <c r="L6" s="19">
        <v>765866</v>
      </c>
      <c r="M6" s="16">
        <v>765741</v>
      </c>
      <c r="N6" s="19">
        <v>765892</v>
      </c>
      <c r="O6" s="16">
        <v>765777</v>
      </c>
      <c r="P6" s="19">
        <v>765921</v>
      </c>
    </row>
    <row r="7" spans="1:16" ht="79.900000000000006" customHeight="1" x14ac:dyDescent="0.25">
      <c r="A7" s="2">
        <v>5</v>
      </c>
      <c r="B7" s="1" t="s">
        <v>178</v>
      </c>
      <c r="C7" s="1" t="s">
        <v>179</v>
      </c>
      <c r="D7" s="1" t="s">
        <v>180</v>
      </c>
      <c r="E7" s="1" t="s">
        <v>181</v>
      </c>
      <c r="F7" s="1" t="s">
        <v>182</v>
      </c>
      <c r="G7" s="1" t="s">
        <v>183</v>
      </c>
      <c r="J7" s="10">
        <v>5</v>
      </c>
      <c r="K7" s="16">
        <v>765715</v>
      </c>
      <c r="L7" s="19">
        <v>765867</v>
      </c>
      <c r="M7" s="16">
        <v>765743</v>
      </c>
      <c r="N7" s="19">
        <v>765894</v>
      </c>
      <c r="O7" s="16">
        <v>765778</v>
      </c>
      <c r="P7" s="19">
        <v>765923</v>
      </c>
    </row>
    <row r="8" spans="1:16" ht="79.900000000000006" customHeight="1" x14ac:dyDescent="0.25">
      <c r="A8" s="2">
        <v>6</v>
      </c>
      <c r="B8" s="1" t="s">
        <v>184</v>
      </c>
      <c r="C8" s="1" t="s">
        <v>185</v>
      </c>
      <c r="D8" s="1" t="s">
        <v>186</v>
      </c>
      <c r="E8" s="1" t="s">
        <v>187</v>
      </c>
      <c r="F8" s="1" t="s">
        <v>188</v>
      </c>
      <c r="G8" s="1" t="s">
        <v>189</v>
      </c>
      <c r="J8" s="10">
        <v>6</v>
      </c>
      <c r="K8" s="16">
        <v>765722</v>
      </c>
      <c r="L8" s="19">
        <v>765868</v>
      </c>
      <c r="M8" s="16">
        <v>765748</v>
      </c>
      <c r="N8" s="19">
        <v>765903</v>
      </c>
      <c r="O8" s="16">
        <v>765779</v>
      </c>
      <c r="P8" s="19">
        <v>765928</v>
      </c>
    </row>
    <row r="9" spans="1:16" ht="79.900000000000006" customHeight="1" x14ac:dyDescent="0.25">
      <c r="A9" s="2">
        <v>7</v>
      </c>
      <c r="B9" s="1" t="s">
        <v>190</v>
      </c>
      <c r="C9" s="1" t="s">
        <v>191</v>
      </c>
      <c r="D9" s="1" t="s">
        <v>192</v>
      </c>
      <c r="E9" s="1" t="s">
        <v>193</v>
      </c>
      <c r="F9" s="1" t="s">
        <v>194</v>
      </c>
      <c r="G9" s="1" t="s">
        <v>195</v>
      </c>
      <c r="J9" s="10">
        <v>7</v>
      </c>
      <c r="K9" s="16">
        <v>765724</v>
      </c>
      <c r="L9" s="19">
        <v>765869</v>
      </c>
      <c r="M9" s="16">
        <v>765750</v>
      </c>
      <c r="N9" s="19">
        <v>765904</v>
      </c>
      <c r="O9" s="16">
        <v>765780</v>
      </c>
      <c r="P9" s="19">
        <v>765929</v>
      </c>
    </row>
    <row r="10" spans="1:16" ht="79.900000000000006" customHeight="1" x14ac:dyDescent="0.25">
      <c r="A10" s="2">
        <v>8</v>
      </c>
      <c r="B10" s="1" t="s">
        <v>196</v>
      </c>
      <c r="C10" s="1" t="s">
        <v>197</v>
      </c>
      <c r="D10" s="1" t="s">
        <v>198</v>
      </c>
      <c r="E10" s="1" t="s">
        <v>199</v>
      </c>
      <c r="F10" s="1" t="s">
        <v>200</v>
      </c>
      <c r="G10" s="1" t="s">
        <v>201</v>
      </c>
      <c r="J10" s="10">
        <v>8</v>
      </c>
      <c r="K10" s="16">
        <v>765729</v>
      </c>
      <c r="L10" s="19">
        <v>765870</v>
      </c>
      <c r="M10" s="16">
        <v>765752</v>
      </c>
      <c r="N10" s="19">
        <v>765905</v>
      </c>
      <c r="O10" s="16">
        <v>765782</v>
      </c>
      <c r="P10" s="19">
        <v>765930</v>
      </c>
    </row>
    <row r="11" spans="1:16" ht="15.75" x14ac:dyDescent="0.25">
      <c r="J11" s="10" t="s">
        <v>7</v>
      </c>
      <c r="K11" s="37">
        <f>COUNTA(K3:M10)</f>
        <v>23</v>
      </c>
      <c r="L11" s="37"/>
      <c r="M11" s="37"/>
      <c r="N11" s="37">
        <f>COUNTA(N3:P10)</f>
        <v>24</v>
      </c>
      <c r="O11" s="37"/>
      <c r="P11" s="37"/>
    </row>
    <row r="12" spans="1:16" ht="14.45" customHeight="1" x14ac:dyDescent="0.25">
      <c r="J12" s="10" t="s">
        <v>8</v>
      </c>
      <c r="K12" s="34">
        <f>K11+N11</f>
        <v>47</v>
      </c>
      <c r="L12" s="34"/>
      <c r="M12" s="34"/>
      <c r="N12" s="34"/>
      <c r="O12" s="34"/>
      <c r="P12" s="34"/>
    </row>
    <row r="13" spans="1:16" ht="22.15" customHeight="1" x14ac:dyDescent="0.25">
      <c r="J13" s="5" t="s">
        <v>9</v>
      </c>
      <c r="K13" s="34">
        <v>215</v>
      </c>
      <c r="L13" s="34"/>
      <c r="M13" s="34"/>
      <c r="N13" s="34"/>
      <c r="O13" s="34"/>
      <c r="P13" s="34"/>
    </row>
    <row r="14" spans="1:16" ht="25.15" customHeight="1" x14ac:dyDescent="0.25"/>
    <row r="15" spans="1:16" ht="25.15" customHeight="1" x14ac:dyDescent="0.25"/>
  </sheetData>
  <mergeCells count="7">
    <mergeCell ref="K13:P13"/>
    <mergeCell ref="A1:B1"/>
    <mergeCell ref="F1:G1"/>
    <mergeCell ref="K11:M11"/>
    <mergeCell ref="N11:P11"/>
    <mergeCell ref="K12:P12"/>
    <mergeCell ref="D1:E1"/>
  </mergeCells>
  <conditionalFormatting sqref="K4:K10">
    <cfRule type="duplicateValues" dxfId="21" priority="11"/>
    <cfRule type="duplicateValues" dxfId="20" priority="12"/>
  </conditionalFormatting>
  <conditionalFormatting sqref="L3:L10">
    <cfRule type="duplicateValues" dxfId="19" priority="5"/>
    <cfRule type="duplicateValues" dxfId="18" priority="6"/>
  </conditionalFormatting>
  <conditionalFormatting sqref="M3:M10">
    <cfRule type="duplicateValues" dxfId="17" priority="9"/>
    <cfRule type="duplicateValues" dxfId="16" priority="10"/>
  </conditionalFormatting>
  <conditionalFormatting sqref="N3:N10">
    <cfRule type="duplicateValues" dxfId="15" priority="3"/>
    <cfRule type="duplicateValues" dxfId="14" priority="4"/>
  </conditionalFormatting>
  <conditionalFormatting sqref="O3:O10">
    <cfRule type="duplicateValues" dxfId="13" priority="7"/>
    <cfRule type="duplicateValues" dxfId="12" priority="8"/>
  </conditionalFormatting>
  <conditionalFormatting sqref="P3:P10">
    <cfRule type="duplicateValues" dxfId="11" priority="1"/>
    <cfRule type="duplicateValues" dxfId="10" priority="2"/>
  </conditionalFormatting>
  <pageMargins left="0.25" right="0.25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1A38E-F9DF-4E5E-B0B6-47311B372568}">
  <dimension ref="A1:P13"/>
  <sheetViews>
    <sheetView zoomScale="70" zoomScaleNormal="70" workbookViewId="0">
      <selection activeCell="B3" sqref="B3:G9"/>
    </sheetView>
  </sheetViews>
  <sheetFormatPr defaultRowHeight="15" x14ac:dyDescent="0.25"/>
  <cols>
    <col min="1" max="1" width="2.7109375" bestFit="1" customWidth="1"/>
    <col min="2" max="7" width="14.7109375" customWidth="1"/>
    <col min="10" max="15" width="8.85546875" style="2"/>
  </cols>
  <sheetData>
    <row r="1" spans="1:16" ht="27" customHeight="1" x14ac:dyDescent="0.25">
      <c r="A1" s="35" t="s">
        <v>1</v>
      </c>
      <c r="B1" s="36"/>
      <c r="C1" s="4">
        <f>K12</f>
        <v>212</v>
      </c>
      <c r="D1" s="35" t="s">
        <v>3</v>
      </c>
      <c r="E1" s="36"/>
      <c r="F1" s="35">
        <f>K11</f>
        <v>41</v>
      </c>
      <c r="G1" s="36"/>
    </row>
    <row r="2" spans="1:16" ht="15.75" x14ac:dyDescent="0.25">
      <c r="A2" s="2" t="s">
        <v>0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J2" s="10" t="s">
        <v>4</v>
      </c>
      <c r="K2" s="11" t="s">
        <v>5</v>
      </c>
      <c r="L2" s="14" t="s">
        <v>10</v>
      </c>
      <c r="M2" s="11" t="s">
        <v>5</v>
      </c>
      <c r="N2" s="14" t="s">
        <v>10</v>
      </c>
      <c r="O2" s="11" t="s">
        <v>5</v>
      </c>
      <c r="P2" s="14" t="s">
        <v>10</v>
      </c>
    </row>
    <row r="3" spans="1:16" ht="85.15" customHeight="1" x14ac:dyDescent="0.25">
      <c r="A3" s="2">
        <v>1</v>
      </c>
      <c r="B3" s="6" t="s">
        <v>2</v>
      </c>
      <c r="C3" s="1" t="s">
        <v>202</v>
      </c>
      <c r="D3" s="1" t="s">
        <v>203</v>
      </c>
      <c r="E3" s="1" t="s">
        <v>204</v>
      </c>
      <c r="F3" s="1" t="s">
        <v>205</v>
      </c>
      <c r="G3" s="1" t="s">
        <v>206</v>
      </c>
      <c r="J3" s="10">
        <v>1</v>
      </c>
      <c r="K3" s="7"/>
      <c r="L3" s="19">
        <v>765934</v>
      </c>
      <c r="M3" s="16">
        <v>765801</v>
      </c>
      <c r="N3" s="19">
        <v>766014</v>
      </c>
      <c r="O3" s="16">
        <v>785405</v>
      </c>
      <c r="P3" s="19">
        <v>766022</v>
      </c>
    </row>
    <row r="4" spans="1:16" ht="85.15" customHeight="1" x14ac:dyDescent="0.25">
      <c r="A4" s="2">
        <v>2</v>
      </c>
      <c r="B4" s="1" t="s">
        <v>207</v>
      </c>
      <c r="C4" s="1" t="s">
        <v>208</v>
      </c>
      <c r="D4" s="1" t="s">
        <v>209</v>
      </c>
      <c r="E4" s="1" t="s">
        <v>210</v>
      </c>
      <c r="F4" s="1" t="s">
        <v>211</v>
      </c>
      <c r="G4" s="1" t="s">
        <v>212</v>
      </c>
      <c r="J4" s="10">
        <v>2</v>
      </c>
      <c r="K4" s="16">
        <v>765783</v>
      </c>
      <c r="L4" s="19">
        <v>765944</v>
      </c>
      <c r="M4" s="16">
        <v>765808</v>
      </c>
      <c r="N4" s="19">
        <v>766015</v>
      </c>
      <c r="O4" s="16">
        <v>791323</v>
      </c>
      <c r="P4" s="25">
        <v>794011</v>
      </c>
    </row>
    <row r="5" spans="1:16" ht="85.15" customHeight="1" x14ac:dyDescent="0.25">
      <c r="A5" s="2">
        <v>3</v>
      </c>
      <c r="B5" s="1" t="s">
        <v>213</v>
      </c>
      <c r="C5" s="1" t="s">
        <v>214</v>
      </c>
      <c r="D5" s="1" t="s">
        <v>215</v>
      </c>
      <c r="E5" s="1" t="s">
        <v>216</v>
      </c>
      <c r="F5" s="1" t="s">
        <v>217</v>
      </c>
      <c r="G5" s="1" t="s">
        <v>218</v>
      </c>
      <c r="J5" s="10">
        <v>3</v>
      </c>
      <c r="K5" s="16">
        <v>765784</v>
      </c>
      <c r="L5" s="19">
        <v>765960</v>
      </c>
      <c r="M5" s="16">
        <v>765809</v>
      </c>
      <c r="N5" s="19">
        <v>766016</v>
      </c>
      <c r="O5" s="16">
        <v>793994</v>
      </c>
      <c r="P5" s="19">
        <v>794012</v>
      </c>
    </row>
    <row r="6" spans="1:16" ht="85.15" customHeight="1" x14ac:dyDescent="0.25">
      <c r="A6" s="2">
        <v>4</v>
      </c>
      <c r="B6" s="1" t="s">
        <v>219</v>
      </c>
      <c r="C6" s="1" t="s">
        <v>220</v>
      </c>
      <c r="D6" s="1" t="s">
        <v>221</v>
      </c>
      <c r="E6" s="1" t="s">
        <v>222</v>
      </c>
      <c r="F6" s="1" t="s">
        <v>223</v>
      </c>
      <c r="G6" s="1" t="s">
        <v>224</v>
      </c>
      <c r="J6" s="10">
        <v>4</v>
      </c>
      <c r="K6" s="16">
        <v>765787</v>
      </c>
      <c r="L6" s="19">
        <v>765979</v>
      </c>
      <c r="M6" s="16">
        <v>765812</v>
      </c>
      <c r="N6" s="19">
        <v>766017</v>
      </c>
      <c r="O6" s="16">
        <v>793995</v>
      </c>
      <c r="P6" s="19">
        <v>794014</v>
      </c>
    </row>
    <row r="7" spans="1:16" ht="85.15" customHeight="1" x14ac:dyDescent="0.25">
      <c r="A7" s="2">
        <v>5</v>
      </c>
      <c r="B7" s="1" t="s">
        <v>225</v>
      </c>
      <c r="C7" s="1" t="s">
        <v>226</v>
      </c>
      <c r="D7" s="1" t="s">
        <v>227</v>
      </c>
      <c r="E7" s="1" t="s">
        <v>228</v>
      </c>
      <c r="F7" s="1" t="s">
        <v>229</v>
      </c>
      <c r="G7" s="1" t="s">
        <v>230</v>
      </c>
      <c r="J7" s="10">
        <v>5</v>
      </c>
      <c r="K7" s="16">
        <v>765788</v>
      </c>
      <c r="L7" s="19">
        <v>765983</v>
      </c>
      <c r="M7" s="16">
        <v>765816</v>
      </c>
      <c r="N7" s="19">
        <v>766018</v>
      </c>
      <c r="O7" s="16">
        <v>794004</v>
      </c>
      <c r="P7" s="25">
        <v>794019</v>
      </c>
    </row>
    <row r="8" spans="1:16" ht="85.15" customHeight="1" x14ac:dyDescent="0.25">
      <c r="A8" s="2">
        <v>6</v>
      </c>
      <c r="B8" s="1" t="s">
        <v>231</v>
      </c>
      <c r="C8" s="1" t="s">
        <v>232</v>
      </c>
      <c r="D8" s="1" t="s">
        <v>233</v>
      </c>
      <c r="E8" s="1" t="s">
        <v>234</v>
      </c>
      <c r="F8" s="1" t="s">
        <v>235</v>
      </c>
      <c r="G8" s="1" t="s">
        <v>236</v>
      </c>
      <c r="J8" s="10">
        <v>6</v>
      </c>
      <c r="K8" s="16">
        <v>765791</v>
      </c>
      <c r="L8" s="19">
        <v>765987</v>
      </c>
      <c r="M8" s="16">
        <v>777678</v>
      </c>
      <c r="N8" s="19">
        <v>766019</v>
      </c>
      <c r="O8" s="16">
        <v>794005</v>
      </c>
      <c r="P8" s="25">
        <v>794022</v>
      </c>
    </row>
    <row r="9" spans="1:16" ht="85.15" customHeight="1" x14ac:dyDescent="0.25">
      <c r="A9" s="2">
        <v>7</v>
      </c>
      <c r="B9" s="1" t="s">
        <v>237</v>
      </c>
      <c r="C9" s="1" t="s">
        <v>238</v>
      </c>
      <c r="D9" s="1" t="s">
        <v>239</v>
      </c>
      <c r="E9" s="1" t="s">
        <v>240</v>
      </c>
      <c r="F9" s="1" t="s">
        <v>241</v>
      </c>
      <c r="G9" s="1" t="s">
        <v>242</v>
      </c>
      <c r="J9" s="10">
        <v>7</v>
      </c>
      <c r="K9" s="16">
        <v>765796</v>
      </c>
      <c r="L9" s="19">
        <v>765997</v>
      </c>
      <c r="M9" s="16">
        <v>779124</v>
      </c>
      <c r="N9" s="19">
        <v>766021</v>
      </c>
      <c r="O9" s="16">
        <v>794007</v>
      </c>
      <c r="P9" s="25">
        <v>794023</v>
      </c>
    </row>
    <row r="10" spans="1:16" ht="15.75" x14ac:dyDescent="0.25">
      <c r="J10" s="10" t="s">
        <v>7</v>
      </c>
      <c r="K10" s="38">
        <f>COUNTA(K3:M9)</f>
        <v>20</v>
      </c>
      <c r="L10" s="39"/>
      <c r="M10" s="40"/>
      <c r="N10" s="38">
        <f>COUNTA(N3:P9)</f>
        <v>21</v>
      </c>
      <c r="O10" s="39"/>
      <c r="P10" s="40"/>
    </row>
    <row r="11" spans="1:16" ht="14.45" customHeight="1" x14ac:dyDescent="0.25">
      <c r="J11" s="10" t="s">
        <v>8</v>
      </c>
      <c r="K11" s="34">
        <f>K10+N10</f>
        <v>41</v>
      </c>
      <c r="L11" s="34"/>
      <c r="M11" s="34"/>
      <c r="N11" s="34"/>
      <c r="O11" s="34"/>
      <c r="P11" s="34"/>
    </row>
    <row r="12" spans="1:16" ht="14.45" customHeight="1" x14ac:dyDescent="0.25">
      <c r="J12" s="5" t="s">
        <v>9</v>
      </c>
      <c r="K12" s="34">
        <v>212</v>
      </c>
      <c r="L12" s="34"/>
      <c r="M12" s="34"/>
      <c r="N12" s="34"/>
      <c r="O12" s="34"/>
      <c r="P12" s="34"/>
    </row>
    <row r="13" spans="1:16" ht="15.75" x14ac:dyDescent="0.25">
      <c r="J13" s="10" t="s">
        <v>11</v>
      </c>
      <c r="K13" s="34" t="s">
        <v>12</v>
      </c>
      <c r="L13" s="34"/>
      <c r="M13" s="34"/>
      <c r="N13" s="34"/>
      <c r="O13" s="34"/>
      <c r="P13" s="34"/>
    </row>
  </sheetData>
  <mergeCells count="8">
    <mergeCell ref="K11:P11"/>
    <mergeCell ref="K12:P12"/>
    <mergeCell ref="K13:P13"/>
    <mergeCell ref="A1:B1"/>
    <mergeCell ref="D1:E1"/>
    <mergeCell ref="F1:G1"/>
    <mergeCell ref="K10:M10"/>
    <mergeCell ref="N10:P10"/>
  </mergeCells>
  <conditionalFormatting sqref="K4:K8">
    <cfRule type="duplicateValues" dxfId="9" priority="9"/>
  </conditionalFormatting>
  <conditionalFormatting sqref="K4:K9">
    <cfRule type="duplicateValues" dxfId="8" priority="10"/>
  </conditionalFormatting>
  <conditionalFormatting sqref="K9">
    <cfRule type="duplicateValues" dxfId="7" priority="8"/>
  </conditionalFormatting>
  <conditionalFormatting sqref="L3:L6">
    <cfRule type="duplicateValues" dxfId="6" priority="1"/>
    <cfRule type="duplicateValues" dxfId="5" priority="2"/>
  </conditionalFormatting>
  <conditionalFormatting sqref="M3">
    <cfRule type="duplicateValues" dxfId="4" priority="5"/>
  </conditionalFormatting>
  <conditionalFormatting sqref="M3:M9">
    <cfRule type="duplicateValues" dxfId="3" priority="7"/>
  </conditionalFormatting>
  <conditionalFormatting sqref="M4:M9">
    <cfRule type="duplicateValues" dxfId="2" priority="6"/>
  </conditionalFormatting>
  <conditionalFormatting sqref="O3:O9">
    <cfRule type="duplicateValues" dxfId="1" priority="3"/>
    <cfRule type="duplicateValues" dxfId="0" priority="4"/>
  </conditionalFormatting>
  <pageMargins left="0.45" right="0.45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2B814-423C-47C2-94D5-F3234301FB72}">
  <dimension ref="A1:P13"/>
  <sheetViews>
    <sheetView zoomScale="70" zoomScaleNormal="70" workbookViewId="0">
      <selection activeCell="B3" sqref="B3:G9"/>
    </sheetView>
  </sheetViews>
  <sheetFormatPr defaultRowHeight="15" x14ac:dyDescent="0.25"/>
  <cols>
    <col min="1" max="1" width="2.7109375" bestFit="1" customWidth="1"/>
    <col min="2" max="7" width="14.7109375" customWidth="1"/>
    <col min="10" max="15" width="8.85546875" style="2"/>
  </cols>
  <sheetData>
    <row r="1" spans="1:16" ht="27" customHeight="1" x14ac:dyDescent="0.25">
      <c r="A1" s="35" t="s">
        <v>1</v>
      </c>
      <c r="B1" s="36"/>
      <c r="C1" s="4">
        <f>K12</f>
        <v>311</v>
      </c>
      <c r="D1" s="35" t="s">
        <v>3</v>
      </c>
      <c r="E1" s="36"/>
      <c r="F1" s="35">
        <f>K11</f>
        <v>36</v>
      </c>
      <c r="G1" s="36"/>
    </row>
    <row r="2" spans="1:16" ht="15.75" x14ac:dyDescent="0.25">
      <c r="A2" s="2" t="s">
        <v>0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J2" s="12" t="s">
        <v>4</v>
      </c>
      <c r="K2" s="13" t="s">
        <v>10</v>
      </c>
      <c r="L2" s="14" t="s">
        <v>5</v>
      </c>
      <c r="M2" s="13" t="s">
        <v>10</v>
      </c>
      <c r="N2" s="14" t="s">
        <v>13</v>
      </c>
      <c r="O2" s="13" t="s">
        <v>14</v>
      </c>
      <c r="P2" s="14" t="s">
        <v>13</v>
      </c>
    </row>
    <row r="3" spans="1:16" ht="85.15" customHeight="1" x14ac:dyDescent="0.25">
      <c r="A3" s="2">
        <v>1</v>
      </c>
      <c r="B3" s="6" t="s">
        <v>2</v>
      </c>
      <c r="C3" s="1" t="s">
        <v>243</v>
      </c>
      <c r="D3" s="1" t="s">
        <v>244</v>
      </c>
      <c r="E3" s="1" t="s">
        <v>245</v>
      </c>
      <c r="F3" s="1" t="s">
        <v>246</v>
      </c>
      <c r="G3" s="1" t="s">
        <v>247</v>
      </c>
      <c r="J3" s="12">
        <v>1</v>
      </c>
      <c r="K3" s="7"/>
      <c r="L3" s="30">
        <v>794008</v>
      </c>
      <c r="M3" s="26">
        <v>795334</v>
      </c>
      <c r="N3" s="21">
        <v>731879</v>
      </c>
      <c r="O3" s="23">
        <v>666258</v>
      </c>
      <c r="P3" s="19">
        <v>766054</v>
      </c>
    </row>
    <row r="4" spans="1:16" ht="85.15" customHeight="1" x14ac:dyDescent="0.25">
      <c r="A4" s="2">
        <v>2</v>
      </c>
      <c r="B4" s="1" t="s">
        <v>248</v>
      </c>
      <c r="C4" s="1" t="s">
        <v>249</v>
      </c>
      <c r="D4" s="1" t="s">
        <v>250</v>
      </c>
      <c r="E4" s="1" t="s">
        <v>251</v>
      </c>
      <c r="F4" s="1" t="s">
        <v>252</v>
      </c>
      <c r="G4" s="1" t="s">
        <v>253</v>
      </c>
      <c r="J4" s="12">
        <v>2</v>
      </c>
      <c r="K4" s="19">
        <v>794024</v>
      </c>
      <c r="L4" s="30">
        <v>794741</v>
      </c>
      <c r="M4" s="26">
        <v>795337</v>
      </c>
      <c r="N4" s="19">
        <v>766033</v>
      </c>
      <c r="O4" s="27">
        <v>666268</v>
      </c>
      <c r="P4" s="19">
        <v>766059</v>
      </c>
    </row>
    <row r="5" spans="1:16" ht="85.15" customHeight="1" x14ac:dyDescent="0.25">
      <c r="A5" s="2">
        <v>3</v>
      </c>
      <c r="B5" s="1" t="s">
        <v>254</v>
      </c>
      <c r="C5" s="1" t="s">
        <v>255</v>
      </c>
      <c r="D5" s="1" t="s">
        <v>256</v>
      </c>
      <c r="E5" s="1" t="s">
        <v>257</v>
      </c>
      <c r="F5" s="1" t="s">
        <v>258</v>
      </c>
      <c r="G5" s="1" t="s">
        <v>259</v>
      </c>
      <c r="J5" s="12">
        <v>3</v>
      </c>
      <c r="K5" s="19">
        <v>795329</v>
      </c>
      <c r="L5" s="31" t="s">
        <v>15</v>
      </c>
      <c r="M5" s="19">
        <v>795338</v>
      </c>
      <c r="N5" s="19">
        <v>766034</v>
      </c>
      <c r="O5" s="19">
        <v>766149</v>
      </c>
      <c r="P5" s="19">
        <v>766061</v>
      </c>
    </row>
    <row r="6" spans="1:16" ht="85.15" customHeight="1" x14ac:dyDescent="0.25">
      <c r="A6" s="2">
        <v>4</v>
      </c>
      <c r="B6" s="1" t="s">
        <v>260</v>
      </c>
      <c r="C6" s="1" t="s">
        <v>261</v>
      </c>
      <c r="D6" s="1" t="s">
        <v>262</v>
      </c>
      <c r="E6" s="1" t="s">
        <v>263</v>
      </c>
      <c r="F6" s="1" t="s">
        <v>264</v>
      </c>
      <c r="G6" s="1" t="s">
        <v>265</v>
      </c>
      <c r="J6" s="12">
        <v>4</v>
      </c>
      <c r="K6" s="19">
        <v>795330</v>
      </c>
      <c r="L6" s="31" t="s">
        <v>16</v>
      </c>
      <c r="M6" s="32">
        <v>795336</v>
      </c>
      <c r="N6" s="19">
        <v>766035</v>
      </c>
      <c r="O6" s="19">
        <v>766168</v>
      </c>
      <c r="P6" s="19">
        <v>766062</v>
      </c>
    </row>
    <row r="7" spans="1:16" ht="85.15" customHeight="1" x14ac:dyDescent="0.25">
      <c r="A7" s="2">
        <v>5</v>
      </c>
      <c r="B7" s="1" t="s">
        <v>266</v>
      </c>
      <c r="C7" s="1" t="s">
        <v>267</v>
      </c>
      <c r="D7" s="1" t="s">
        <v>268</v>
      </c>
      <c r="E7" s="1" t="s">
        <v>269</v>
      </c>
      <c r="F7" s="1" t="s">
        <v>270</v>
      </c>
      <c r="G7" s="1" t="s">
        <v>271</v>
      </c>
      <c r="J7" s="12">
        <v>5</v>
      </c>
      <c r="K7" s="19">
        <v>795331</v>
      </c>
      <c r="L7" s="31" t="s">
        <v>17</v>
      </c>
      <c r="M7" s="29"/>
      <c r="N7" s="19">
        <v>766051</v>
      </c>
      <c r="O7" s="19">
        <v>766170</v>
      </c>
      <c r="P7" s="19">
        <v>766063</v>
      </c>
    </row>
    <row r="8" spans="1:16" ht="85.15" customHeight="1" x14ac:dyDescent="0.25">
      <c r="A8" s="2">
        <v>6</v>
      </c>
      <c r="B8" s="1" t="s">
        <v>272</v>
      </c>
      <c r="C8" s="1" t="s">
        <v>273</v>
      </c>
      <c r="D8" s="1" t="s">
        <v>268</v>
      </c>
      <c r="E8" s="1" t="s">
        <v>274</v>
      </c>
      <c r="F8" s="1" t="s">
        <v>275</v>
      </c>
      <c r="G8" s="1" t="s">
        <v>276</v>
      </c>
      <c r="J8" s="12">
        <v>6</v>
      </c>
      <c r="K8" s="19">
        <v>795332</v>
      </c>
      <c r="L8" s="29"/>
      <c r="M8" s="28"/>
      <c r="N8" s="19">
        <v>766052</v>
      </c>
      <c r="O8" s="19">
        <v>766171</v>
      </c>
      <c r="P8" s="19">
        <v>766065</v>
      </c>
    </row>
    <row r="9" spans="1:16" ht="85.15" customHeight="1" x14ac:dyDescent="0.25">
      <c r="A9" s="2">
        <v>7</v>
      </c>
      <c r="B9" s="1" t="s">
        <v>277</v>
      </c>
      <c r="C9" s="1" t="s">
        <v>273</v>
      </c>
      <c r="D9" s="1" t="s">
        <v>268</v>
      </c>
      <c r="E9" s="1" t="s">
        <v>278</v>
      </c>
      <c r="F9" s="1" t="s">
        <v>279</v>
      </c>
      <c r="G9" s="1" t="s">
        <v>280</v>
      </c>
      <c r="J9" s="12">
        <v>7</v>
      </c>
      <c r="K9" s="19">
        <v>795333</v>
      </c>
      <c r="L9" s="28"/>
      <c r="M9" s="29"/>
      <c r="N9" s="19">
        <v>766053</v>
      </c>
      <c r="O9" s="19">
        <v>766172</v>
      </c>
      <c r="P9" s="19">
        <v>766085</v>
      </c>
    </row>
    <row r="10" spans="1:16" ht="15.75" x14ac:dyDescent="0.25">
      <c r="J10" s="12" t="s">
        <v>7</v>
      </c>
      <c r="K10" s="38">
        <f>COUNTA(K3:M9)</f>
        <v>15</v>
      </c>
      <c r="L10" s="39"/>
      <c r="M10" s="40"/>
      <c r="N10" s="38">
        <f>COUNTA(N3:P9)</f>
        <v>21</v>
      </c>
      <c r="O10" s="39"/>
      <c r="P10" s="40"/>
    </row>
    <row r="11" spans="1:16" ht="14.45" customHeight="1" x14ac:dyDescent="0.25">
      <c r="J11" s="12" t="s">
        <v>8</v>
      </c>
      <c r="K11" s="34">
        <f>K10+N10</f>
        <v>36</v>
      </c>
      <c r="L11" s="34"/>
      <c r="M11" s="34"/>
      <c r="N11" s="34"/>
      <c r="O11" s="34"/>
      <c r="P11" s="34"/>
    </row>
    <row r="12" spans="1:16" ht="14.45" customHeight="1" x14ac:dyDescent="0.25">
      <c r="J12" s="5" t="s">
        <v>9</v>
      </c>
      <c r="K12" s="34">
        <v>311</v>
      </c>
      <c r="L12" s="34"/>
      <c r="M12" s="34"/>
      <c r="N12" s="34"/>
      <c r="O12" s="34"/>
      <c r="P12" s="34"/>
    </row>
    <row r="13" spans="1:16" ht="15.75" x14ac:dyDescent="0.25">
      <c r="J13" s="12" t="s">
        <v>11</v>
      </c>
      <c r="K13" s="34" t="s">
        <v>12</v>
      </c>
      <c r="L13" s="34"/>
      <c r="M13" s="34"/>
      <c r="N13" s="34"/>
      <c r="O13" s="34"/>
      <c r="P13" s="34"/>
    </row>
  </sheetData>
  <mergeCells count="8">
    <mergeCell ref="K11:P11"/>
    <mergeCell ref="K12:P12"/>
    <mergeCell ref="K13:P13"/>
    <mergeCell ref="A1:B1"/>
    <mergeCell ref="D1:E1"/>
    <mergeCell ref="F1:G1"/>
    <mergeCell ref="K10:M10"/>
    <mergeCell ref="N10:P10"/>
  </mergeCells>
  <pageMargins left="0.45" right="0.45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ADE84-2555-48E5-AAF1-EA370FAD5374}">
  <dimension ref="A1:P13"/>
  <sheetViews>
    <sheetView tabSelected="1" zoomScale="70" zoomScaleNormal="70" workbookViewId="0">
      <selection activeCell="B3" sqref="B3:G9"/>
    </sheetView>
  </sheetViews>
  <sheetFormatPr defaultRowHeight="15" x14ac:dyDescent="0.25"/>
  <cols>
    <col min="1" max="1" width="2.7109375" bestFit="1" customWidth="1"/>
    <col min="2" max="7" width="14.7109375" customWidth="1"/>
    <col min="10" max="15" width="8.85546875" style="2"/>
  </cols>
  <sheetData>
    <row r="1" spans="1:16" ht="27" customHeight="1" x14ac:dyDescent="0.25">
      <c r="A1" s="35" t="s">
        <v>1</v>
      </c>
      <c r="B1" s="36"/>
      <c r="C1" s="4">
        <f>K12</f>
        <v>312</v>
      </c>
      <c r="D1" s="35" t="s">
        <v>3</v>
      </c>
      <c r="E1" s="36"/>
      <c r="F1" s="35">
        <f>K11</f>
        <v>31</v>
      </c>
      <c r="G1" s="36"/>
    </row>
    <row r="2" spans="1:16" ht="15.75" x14ac:dyDescent="0.25">
      <c r="A2" s="2" t="s">
        <v>0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J2" s="12" t="s">
        <v>4</v>
      </c>
      <c r="K2" s="14" t="s">
        <v>14</v>
      </c>
      <c r="L2" s="13" t="s">
        <v>13</v>
      </c>
      <c r="M2" s="14" t="s">
        <v>14</v>
      </c>
      <c r="N2" s="13" t="s">
        <v>13</v>
      </c>
      <c r="O2" s="14" t="s">
        <v>14</v>
      </c>
      <c r="P2" s="13" t="s">
        <v>13</v>
      </c>
    </row>
    <row r="3" spans="1:16" ht="85.15" customHeight="1" x14ac:dyDescent="0.25">
      <c r="A3" s="2">
        <v>1</v>
      </c>
      <c r="B3" s="6" t="s">
        <v>2</v>
      </c>
      <c r="C3" s="1" t="s">
        <v>281</v>
      </c>
      <c r="D3" s="1" t="s">
        <v>282</v>
      </c>
      <c r="E3" s="1" t="s">
        <v>283</v>
      </c>
      <c r="F3" s="1" t="s">
        <v>284</v>
      </c>
      <c r="G3" s="1" t="s">
        <v>285</v>
      </c>
      <c r="J3" s="12">
        <v>1</v>
      </c>
      <c r="K3" s="7"/>
      <c r="L3" s="19">
        <v>766086</v>
      </c>
      <c r="M3" s="19">
        <v>791043</v>
      </c>
      <c r="N3" s="19">
        <v>766121</v>
      </c>
      <c r="O3" s="9"/>
      <c r="P3" s="19">
        <v>774122</v>
      </c>
    </row>
    <row r="4" spans="1:16" ht="85.15" customHeight="1" x14ac:dyDescent="0.25">
      <c r="A4" s="2">
        <v>2</v>
      </c>
      <c r="B4" s="1" t="s">
        <v>286</v>
      </c>
      <c r="C4" s="1" t="s">
        <v>287</v>
      </c>
      <c r="D4" s="1" t="s">
        <v>288</v>
      </c>
      <c r="E4" s="1" t="s">
        <v>289</v>
      </c>
      <c r="F4" s="1" t="s">
        <v>284</v>
      </c>
      <c r="G4" s="1" t="s">
        <v>290</v>
      </c>
      <c r="J4" s="12">
        <v>2</v>
      </c>
      <c r="K4" s="19">
        <v>766173</v>
      </c>
      <c r="L4" s="19">
        <v>766102</v>
      </c>
      <c r="M4" s="33">
        <v>666249</v>
      </c>
      <c r="N4" s="19">
        <v>766126</v>
      </c>
      <c r="O4" s="8"/>
      <c r="P4" s="19">
        <v>774142</v>
      </c>
    </row>
    <row r="5" spans="1:16" ht="85.15" customHeight="1" x14ac:dyDescent="0.25">
      <c r="A5" s="2">
        <v>3</v>
      </c>
      <c r="B5" s="1" t="s">
        <v>291</v>
      </c>
      <c r="C5" s="1" t="s">
        <v>292</v>
      </c>
      <c r="D5" s="1" t="s">
        <v>293</v>
      </c>
      <c r="E5" s="1" t="s">
        <v>294</v>
      </c>
      <c r="F5" s="1" t="s">
        <v>284</v>
      </c>
      <c r="G5" s="1" t="s">
        <v>295</v>
      </c>
      <c r="J5" s="12">
        <v>3</v>
      </c>
      <c r="K5" s="19">
        <v>766205</v>
      </c>
      <c r="L5" s="19">
        <v>766108</v>
      </c>
      <c r="M5" s="31" t="s">
        <v>18</v>
      </c>
      <c r="N5" s="19">
        <v>766130</v>
      </c>
      <c r="O5" s="9"/>
      <c r="P5" s="19">
        <v>774147</v>
      </c>
    </row>
    <row r="6" spans="1:16" ht="85.15" customHeight="1" x14ac:dyDescent="0.25">
      <c r="A6" s="2">
        <v>4</v>
      </c>
      <c r="B6" s="1" t="s">
        <v>296</v>
      </c>
      <c r="C6" s="1" t="s">
        <v>297</v>
      </c>
      <c r="D6" s="1" t="s">
        <v>298</v>
      </c>
      <c r="E6" s="1" t="s">
        <v>299</v>
      </c>
      <c r="F6" s="1" t="s">
        <v>284</v>
      </c>
      <c r="G6" s="1" t="s">
        <v>300</v>
      </c>
      <c r="J6" s="12">
        <v>4</v>
      </c>
      <c r="K6" s="19">
        <v>766206</v>
      </c>
      <c r="L6" s="19">
        <v>766111</v>
      </c>
      <c r="M6" s="31" t="s">
        <v>19</v>
      </c>
      <c r="N6" s="19">
        <v>766132</v>
      </c>
      <c r="O6" s="8"/>
      <c r="P6" s="19">
        <v>774148</v>
      </c>
    </row>
    <row r="7" spans="1:16" ht="85.15" customHeight="1" x14ac:dyDescent="0.25">
      <c r="A7" s="2">
        <v>5</v>
      </c>
      <c r="B7" s="1" t="s">
        <v>301</v>
      </c>
      <c r="C7" s="1" t="s">
        <v>302</v>
      </c>
      <c r="D7" s="1" t="s">
        <v>284</v>
      </c>
      <c r="E7" s="1" t="s">
        <v>303</v>
      </c>
      <c r="F7" s="1" t="s">
        <v>284</v>
      </c>
      <c r="G7" s="1" t="s">
        <v>304</v>
      </c>
      <c r="J7" s="12">
        <v>5</v>
      </c>
      <c r="K7" s="19">
        <v>766218</v>
      </c>
      <c r="L7" s="19">
        <v>766113</v>
      </c>
      <c r="M7"/>
      <c r="N7" s="19">
        <v>774079</v>
      </c>
      <c r="O7" s="9"/>
      <c r="P7" s="19">
        <v>777015</v>
      </c>
    </row>
    <row r="8" spans="1:16" ht="85.15" customHeight="1" x14ac:dyDescent="0.25">
      <c r="A8" s="2">
        <v>6</v>
      </c>
      <c r="B8" s="1" t="s">
        <v>305</v>
      </c>
      <c r="C8" s="1" t="s">
        <v>306</v>
      </c>
      <c r="D8" s="1" t="s">
        <v>284</v>
      </c>
      <c r="E8" s="1" t="s">
        <v>307</v>
      </c>
      <c r="F8" s="1" t="s">
        <v>284</v>
      </c>
      <c r="G8" s="1" t="s">
        <v>308</v>
      </c>
      <c r="J8" s="12">
        <v>6</v>
      </c>
      <c r="K8" s="19">
        <v>774263</v>
      </c>
      <c r="L8" s="19">
        <v>766115</v>
      </c>
      <c r="M8"/>
      <c r="N8" s="19">
        <v>774080</v>
      </c>
      <c r="O8" s="8"/>
      <c r="P8" s="19">
        <v>777071</v>
      </c>
    </row>
    <row r="9" spans="1:16" ht="85.15" customHeight="1" x14ac:dyDescent="0.25">
      <c r="A9" s="2">
        <v>7</v>
      </c>
      <c r="B9" s="1" t="s">
        <v>309</v>
      </c>
      <c r="C9" s="1" t="s">
        <v>310</v>
      </c>
      <c r="D9" s="1" t="s">
        <v>284</v>
      </c>
      <c r="E9" s="1" t="s">
        <v>311</v>
      </c>
      <c r="F9" s="1" t="s">
        <v>284</v>
      </c>
      <c r="G9" s="1" t="s">
        <v>312</v>
      </c>
      <c r="J9" s="12">
        <v>7</v>
      </c>
      <c r="K9" s="27">
        <v>778363</v>
      </c>
      <c r="L9" s="19">
        <v>766116</v>
      </c>
      <c r="M9"/>
      <c r="N9" s="19">
        <v>774082</v>
      </c>
      <c r="O9" s="9"/>
      <c r="P9" s="19">
        <v>777072</v>
      </c>
    </row>
    <row r="10" spans="1:16" ht="15.75" x14ac:dyDescent="0.25">
      <c r="J10" s="12" t="s">
        <v>7</v>
      </c>
      <c r="K10" s="38">
        <f>COUNTA(K3:M9)</f>
        <v>17</v>
      </c>
      <c r="L10" s="39"/>
      <c r="M10" s="40"/>
      <c r="N10" s="38">
        <f>COUNTA(N3:P9)</f>
        <v>14</v>
      </c>
      <c r="O10" s="39"/>
      <c r="P10" s="40"/>
    </row>
    <row r="11" spans="1:16" ht="14.45" customHeight="1" x14ac:dyDescent="0.25">
      <c r="J11" s="12" t="s">
        <v>8</v>
      </c>
      <c r="K11" s="34">
        <f>K10+N10</f>
        <v>31</v>
      </c>
      <c r="L11" s="34"/>
      <c r="M11" s="34"/>
      <c r="N11" s="34"/>
      <c r="O11" s="34"/>
      <c r="P11" s="34"/>
    </row>
    <row r="12" spans="1:16" ht="14.45" customHeight="1" x14ac:dyDescent="0.25">
      <c r="J12" s="5" t="s">
        <v>9</v>
      </c>
      <c r="K12" s="34">
        <v>312</v>
      </c>
      <c r="L12" s="34"/>
      <c r="M12" s="34"/>
      <c r="N12" s="34"/>
      <c r="O12" s="34"/>
      <c r="P12" s="34"/>
    </row>
    <row r="13" spans="1:16" ht="15.75" x14ac:dyDescent="0.25">
      <c r="J13" s="12" t="s">
        <v>11</v>
      </c>
      <c r="K13" s="34" t="s">
        <v>12</v>
      </c>
      <c r="L13" s="34"/>
      <c r="M13" s="34"/>
      <c r="N13" s="34"/>
      <c r="O13" s="34"/>
      <c r="P13" s="34"/>
    </row>
  </sheetData>
  <mergeCells count="8">
    <mergeCell ref="K11:P11"/>
    <mergeCell ref="K12:P12"/>
    <mergeCell ref="K13:P13"/>
    <mergeCell ref="A1:B1"/>
    <mergeCell ref="D1:E1"/>
    <mergeCell ref="F1:G1"/>
    <mergeCell ref="K10:M10"/>
    <mergeCell ref="N10:P10"/>
  </mergeCells>
  <pageMargins left="0.45" right="0.4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115-47</vt:lpstr>
      <vt:lpstr>213-47</vt:lpstr>
      <vt:lpstr>214-47 </vt:lpstr>
      <vt:lpstr>215-47</vt:lpstr>
      <vt:lpstr>212-41</vt:lpstr>
      <vt:lpstr>311-41</vt:lpstr>
      <vt:lpstr>312-41</vt:lpstr>
      <vt:lpstr>'115-47'!Print_Area</vt:lpstr>
      <vt:lpstr>'212-41'!Print_Area</vt:lpstr>
      <vt:lpstr>'213-47'!Print_Area</vt:lpstr>
      <vt:lpstr>'214-47 '!Print_Area</vt:lpstr>
      <vt:lpstr>'215-47'!Print_Area</vt:lpstr>
      <vt:lpstr>'311-41'!Print_Area</vt:lpstr>
      <vt:lpstr>'312-41'!Print_Area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Sheikh Mohammad Ashraful</dc:creator>
  <cp:lastModifiedBy>Sheikh Mohammad Ashraful</cp:lastModifiedBy>
  <cp:lastPrinted>2026-06-03T07:27:06Z</cp:lastPrinted>
  <dcterms:created xsi:type="dcterms:W3CDTF">2026-01-08T11:23:12Z</dcterms:created>
  <dcterms:modified xsi:type="dcterms:W3CDTF">2026-06-05T03:19:52Z</dcterms:modified>
</cp:coreProperties>
</file>